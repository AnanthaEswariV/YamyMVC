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0" yWindow="0" windowWidth="19320" windowHeight="9024"/>
  </bookViews>
  <sheets>
    <sheet name="Journal V - Ja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</calcChain>
</file>

<file path=xl/sharedStrings.xml><?xml version="1.0" encoding="utf-8"?>
<sst xmlns="http://schemas.openxmlformats.org/spreadsheetml/2006/main" count="95" uniqueCount="53">
  <si>
    <t>SN</t>
  </si>
  <si>
    <t>Date</t>
  </si>
  <si>
    <t>Account</t>
  </si>
  <si>
    <t xml:space="preserve">Project </t>
  </si>
  <si>
    <t>Description</t>
  </si>
  <si>
    <t>Debit</t>
  </si>
  <si>
    <t>Credit</t>
  </si>
  <si>
    <t>1</t>
  </si>
  <si>
    <t>Subcontractors</t>
  </si>
  <si>
    <t>دمج البيانات من نوبل الى نظام يامى -مسلسل-11-اسم الحساب من نوبل-دائيوال للخدمات الفنية-البيان-صرف دفعه من الحساب من عهدة الشبراوى</t>
  </si>
  <si>
    <t>Retentions from SubContractors</t>
  </si>
  <si>
    <t>دمج البيانات من نوبل الى نظام يامى -مسلسل-11-اسم الحساب من نوبل-دائيوال للخدمات الفنية محتجزات-البيان-صرف دفعه من الحساب من عهدة الشبراوى</t>
  </si>
  <si>
    <t>Petty Cash Imprest</t>
  </si>
  <si>
    <t>دمج البيانات من نوبل الى نظام يامى -مسلسل-11-اسم الحساب من نوبل-عهدة الشبراوي-البيان-صرف دفعه من الحساب من عهدة الشبراوى</t>
  </si>
  <si>
    <t>Other Income</t>
  </si>
  <si>
    <t>دمج البيانات من نوبل الى نظام يامى -مسلسل-11-اسم الحساب من نوبل-Purchases Discount-البيان-صرف دفعه من الحساب من عهدة الشبراوى</t>
  </si>
  <si>
    <t>9</t>
  </si>
  <si>
    <t>VAT Input</t>
  </si>
  <si>
    <t>دمج البيانات من نوبل الى نظام يامى -مسلسل-109-اسم الحساب من نوبل-Value Added Tax (VAT OUT)-البيان-ضريبة البترول عن شهر 12</t>
  </si>
  <si>
    <t>Contra Account</t>
  </si>
  <si>
    <t>دمج البيانات من نوبل الى نظام يامى -مسلسل-109-اسم الحساب من نوبل-Contra Account-البيان-ضريبة البترول عن شهر 12</t>
  </si>
  <si>
    <t>5</t>
  </si>
  <si>
    <t>مصرف ابوظبي الاسلامى</t>
  </si>
  <si>
    <t>دمج البيانات من نوبل الى نظام يامى -مسلسل-245-اسم الحساب من نوبل-مصرف ابوظبي الاسلامى-البيان-الضريبة المستحقة على محمد خميس سبيع بعد جدال تم الاتفاق على ان يدفع المالك مبلغ 47000 فقط لاغير للمقاول</t>
  </si>
  <si>
    <t>VAT Output</t>
  </si>
  <si>
    <t>دمج البيانات من نوبل الى نظام يامى -مسلسل-245-اسم الحساب من نوبل-Value Added Tax (VAT IN)-البيان-الضريبة المستحقة على محمد خميس سبيع بعد جدال تم الاتفاق على ان يدفع المالك مبلغ 47000 فقط لاغير للمقاول</t>
  </si>
  <si>
    <t>دمج البيانات من نوبل الى نظام يامى -مسلسل-245-اسم الحساب من نوبل-مصرف ابوظبي الاسلامى-البيان-جزء من الضريبه المستحقة على احمد الحمادى</t>
  </si>
  <si>
    <t>دمج البيانات من نوبل الى نظام يامى -مسلسل-245-اسم الحساب من نوبل-Value Added Tax (VAT IN)-البيان-جزء من الضريبه المستحقة على احمد الحمادى</t>
  </si>
  <si>
    <t>دمج البيانات من نوبل الى نظام يامى -مسلسل-245-اسم الحساب من نوبل-مصرف ابوظبي الاسلامى-البيان-جزء من الضريبة المستحقة على عبدالله الظاهرى حولت الى مصرف ابوظبي الاسلامى</t>
  </si>
  <si>
    <t>دمج البيانات من نوبل الى نظام يامى -مسلسل-245-اسم الحساب من نوبل-Value Added Tax (VAT IN)-البيان-جزء من الضريبة المستحقة على عبدالله الظاهرى حولت الى مصرف ابوظبي الاسلامى</t>
  </si>
  <si>
    <t>دمج البيانات من نوبل الى نظام يامى -مسلسل-255-اسم الحساب من نوبل-مصرف ابوظبي الاسلامى-البيان-محتجزات 5% لموقع هارون المرزوقى من مصرف ابوظبي الاسلامى</t>
  </si>
  <si>
    <t>العملاء</t>
  </si>
  <si>
    <t>دمج البيانات من نوبل الى نظام يامى -مسلسل-255-اسم الحساب من نوبل-هارون المرزوقى-البيان-محتجزات 5% لموقع هارون المرزوقى من مصرف ابوظبي الاسلامى</t>
  </si>
  <si>
    <t>7</t>
  </si>
  <si>
    <t>Cost Of Revenue</t>
  </si>
  <si>
    <t>فيلا احمد بلكور المزروعى</t>
  </si>
  <si>
    <t>دمج البيانات من نوبل الى نظام يامى -مسلسل-267-اسم الحساب من نوبل-فيلا احمد بلكور المزروعى-البيان-اثبات رواتب سبيس لايت لشهر 1-2023</t>
  </si>
  <si>
    <t>فيلا عفراء المزروعى</t>
  </si>
  <si>
    <t>دمج البيانات من نوبل الى نظام يامى -مسلسل-267-اسم الحساب من نوبل-فيلا عفراء المزروعى-البيان-اثبات رواتب سبيس لايت لشهر 1-2023</t>
  </si>
  <si>
    <t>فيلا سالمين المزروعى</t>
  </si>
  <si>
    <t>دمج البيانات من نوبل الى نظام يامى -مسلسل-267-اسم الحساب من نوبل-فيلا سالمين المزروعى-البيان-اثبات رواتب سبيس لايت لشهر 1-2023</t>
  </si>
  <si>
    <t>فيلا محمد راشد المنصورى</t>
  </si>
  <si>
    <t>دمج البيانات من نوبل الى نظام يامى -مسلسل-267-اسم الحساب من نوبل-فيلا محمد راشد المنصورى-البيان-اثبات رواتب سبيس لايت لشهر 1-2023</t>
  </si>
  <si>
    <t>دمج البيانات من نوبل الى نظام يامى -مسلسل-267-اسم الحساب من نوبل-سبيس لايت-البيان-اثبات رواتب سبيس لايت لشهر 1-2023</t>
  </si>
  <si>
    <t>كفالات الانماء</t>
  </si>
  <si>
    <t xml:space="preserve">دمج البيانات من نوبل الى نظام يامى -مسلسل-889-اسم الحساب من نوبل-كفالات الانماء-البيان-استرداد كفاله محمد خلفان المزروعى </t>
  </si>
  <si>
    <t xml:space="preserve">دمج البيانات من نوبل الى نظام يامى -مسلسل-889-اسم الحساب من نوبل-Contra Account-البيان-استرداد كفاله محمد خلفان المزروعى </t>
  </si>
  <si>
    <t>دمج البيانات من نوبل الى نظام يامى -مسلسل-889-اسم الحساب من نوبل-كفالات الانماء-البيان-استرداد كفاله سالمين المزروعى</t>
  </si>
  <si>
    <t>دمج البيانات من نوبل الى نظام يامى -مسلسل-889-اسم الحساب من نوبل-Contra Account-البيان-استرداد كفاله سالمين المزروعى</t>
  </si>
  <si>
    <t>Vehicles - Value</t>
  </si>
  <si>
    <t xml:space="preserve">دمج البيانات من نوبل الى نظام يامى -مسلسل-1521-اسم الحساب من نوبل-Vehicles.-original Value-البيان-ثمن شراء سيارة موتسبيشي من مبارك السودانى يتاريخ 8-11-2022 لم بتم تسجيلها ب2022 </t>
  </si>
  <si>
    <t>Accounts Payables</t>
  </si>
  <si>
    <t xml:space="preserve">دمج البيانات من نوبل الى نظام يامى -مسلسل-1521-اسم الحساب من نوبل-مبارك السعيد احمد-البيان-ثمن شراء سيارة موتسبيشي من مبارك السودانى يتاريخ 8-11-2022 لم بتم تسجيلها ب2022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</si>
</sst>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theme="1"/>
      <name val="Times New Roman"/>
      <family val="2"/>
    </font>
    <font>
      <b/>
      <sz val="9"/>
      <color theme="1"/>
      <name val="Arial Unicode MS"/>
    </font>
    <font>
      <sz val="9"/>
      <color theme="1"/>
      <name val="Arial Unicode MS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tabSelected="1" topLeftCell="B1" workbookViewId="0">
      <selection sqref="A1:A1048576"/>
    </sheetView>
  </sheetViews>
  <sheetFormatPr defaultRowHeight="13.2"/>
  <cols>
    <col min="1" max="1" width="0" hidden="1" customWidth="1"/>
    <col min="3" max="3" width="0" hidden="1" customWidth="1"/>
    <col min="4" max="4" width="14.109375" customWidth="1"/>
    <col min="5" max="5" width="24.5546875" bestFit="1" customWidth="1"/>
    <col min="6" max="6" width="18.21875" bestFit="1" customWidth="1"/>
    <col min="7" max="7" width="126.21875" bestFit="1" customWidth="1"/>
    <col min="8" max="8" width="9.88671875" bestFit="1" customWidth="1"/>
  </cols>
  <sheetData>
    <row r="2" spans="2:9" ht="15" customHeight="1">
      <c r="B2" s="1" t="s">
        <v>0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2" t="s">
        <v>5</v>
      </c>
      <c r="I2" s="2" t="s">
        <v>6</v>
      </c>
    </row>
    <row r="3" spans="2:9" ht="15" customHeight="1">
      <c r="B3" s="3">
        <v>11</v>
      </c>
      <c r="C3" s="4" t="s">
        <v>7</v>
      </c>
      <c r="D3" s="5">
        <v>44950</v>
      </c>
      <c r="E3" s="4" t="s">
        <v>8</v>
      </c>
      <c r="F3" s="4"/>
      <c r="G3" s="6" t="s">
        <v>9</v>
      </c>
      <c r="H3" s="7">
        <v>8000</v>
      </c>
      <c r="I3" s="8">
        <v>0</v>
      </c>
    </row>
    <row r="4" spans="2:9" ht="15" customHeight="1">
      <c r="B4" s="3">
        <v>11</v>
      </c>
      <c r="C4" s="4" t="s">
        <v>7</v>
      </c>
      <c r="D4" s="5">
        <v>44950</v>
      </c>
      <c r="E4" s="4" t="s">
        <v>10</v>
      </c>
      <c r="F4" s="4"/>
      <c r="G4" s="6" t="s">
        <v>11</v>
      </c>
      <c r="H4" s="7">
        <v>3000</v>
      </c>
      <c r="I4" s="8">
        <v>0</v>
      </c>
    </row>
    <row r="5" spans="2:9" ht="15" customHeight="1">
      <c r="B5" s="3">
        <v>11</v>
      </c>
      <c r="C5" s="4" t="s">
        <v>7</v>
      </c>
      <c r="D5" s="5">
        <v>44950</v>
      </c>
      <c r="E5" s="4" t="s">
        <v>10</v>
      </c>
      <c r="F5" s="4"/>
      <c r="G5" s="6" t="s">
        <v>11</v>
      </c>
      <c r="H5" s="8">
        <v>92.5</v>
      </c>
      <c r="I5" s="8">
        <v>0</v>
      </c>
    </row>
    <row r="6" spans="2:9" ht="15" customHeight="1">
      <c r="B6" s="3">
        <v>11</v>
      </c>
      <c r="C6" s="4" t="s">
        <v>7</v>
      </c>
      <c r="D6" s="5">
        <v>44950</v>
      </c>
      <c r="E6" s="4" t="s">
        <v>12</v>
      </c>
      <c r="F6" s="4"/>
      <c r="G6" s="6" t="s">
        <v>13</v>
      </c>
      <c r="H6" s="8">
        <v>0</v>
      </c>
      <c r="I6" s="7">
        <v>11000</v>
      </c>
    </row>
    <row r="7" spans="2:9" ht="15" customHeight="1">
      <c r="B7" s="3">
        <v>11</v>
      </c>
      <c r="C7" s="4" t="s">
        <v>7</v>
      </c>
      <c r="D7" s="5">
        <v>44950</v>
      </c>
      <c r="E7" s="4" t="s">
        <v>14</v>
      </c>
      <c r="F7" s="4"/>
      <c r="G7" s="6" t="s">
        <v>15</v>
      </c>
      <c r="H7" s="8">
        <v>0</v>
      </c>
      <c r="I7" s="8">
        <v>92.5</v>
      </c>
    </row>
    <row r="8" spans="2:9" ht="15" customHeight="1">
      <c r="B8" s="3">
        <v>109</v>
      </c>
      <c r="C8" s="4" t="s">
        <v>16</v>
      </c>
      <c r="D8" s="5">
        <v>44928</v>
      </c>
      <c r="E8" s="4" t="s">
        <v>17</v>
      </c>
      <c r="F8" s="4"/>
      <c r="G8" s="6" t="s">
        <v>18</v>
      </c>
      <c r="H8" s="8">
        <v>577.91999999999996</v>
      </c>
      <c r="I8" s="8">
        <v>0</v>
      </c>
    </row>
    <row r="9" spans="2:9" ht="15" customHeight="1">
      <c r="B9" s="3">
        <v>109</v>
      </c>
      <c r="C9" s="4" t="s">
        <v>16</v>
      </c>
      <c r="D9" s="5">
        <v>44928</v>
      </c>
      <c r="E9" s="4" t="s">
        <v>19</v>
      </c>
      <c r="F9" s="4"/>
      <c r="G9" s="6" t="s">
        <v>20</v>
      </c>
      <c r="H9" s="8">
        <v>0</v>
      </c>
      <c r="I9" s="8">
        <v>577.91999999999996</v>
      </c>
    </row>
    <row r="10" spans="2:9" ht="15" customHeight="1">
      <c r="B10" s="3">
        <v>245</v>
      </c>
      <c r="C10" s="4" t="s">
        <v>21</v>
      </c>
      <c r="D10" s="5">
        <v>44940</v>
      </c>
      <c r="E10" s="4" t="s">
        <v>22</v>
      </c>
      <c r="F10" s="4"/>
      <c r="G10" s="6" t="s">
        <v>23</v>
      </c>
      <c r="H10" s="7">
        <v>47000</v>
      </c>
      <c r="I10" s="8">
        <v>0</v>
      </c>
    </row>
    <row r="11" spans="2:9" ht="15" customHeight="1">
      <c r="B11" s="3">
        <v>245</v>
      </c>
      <c r="C11" s="4" t="s">
        <v>21</v>
      </c>
      <c r="D11" s="5">
        <v>44940</v>
      </c>
      <c r="E11" s="4" t="s">
        <v>24</v>
      </c>
      <c r="F11" s="4"/>
      <c r="G11" s="6" t="s">
        <v>25</v>
      </c>
      <c r="H11" s="8">
        <v>0</v>
      </c>
      <c r="I11" s="7">
        <v>47000</v>
      </c>
    </row>
    <row r="12" spans="2:9" ht="15" customHeight="1">
      <c r="B12" s="3">
        <v>245</v>
      </c>
      <c r="C12" s="4" t="s">
        <v>21</v>
      </c>
      <c r="D12" s="5">
        <v>44940</v>
      </c>
      <c r="E12" s="4" t="s">
        <v>22</v>
      </c>
      <c r="F12" s="4"/>
      <c r="G12" s="6" t="s">
        <v>26</v>
      </c>
      <c r="H12" s="7">
        <v>35000</v>
      </c>
      <c r="I12" s="8">
        <v>0</v>
      </c>
    </row>
    <row r="13" spans="2:9" ht="15" customHeight="1">
      <c r="B13" s="3">
        <v>245</v>
      </c>
      <c r="C13" s="4" t="s">
        <v>21</v>
      </c>
      <c r="D13" s="5">
        <v>44940</v>
      </c>
      <c r="E13" s="4" t="s">
        <v>24</v>
      </c>
      <c r="F13" s="4"/>
      <c r="G13" s="6" t="s">
        <v>27</v>
      </c>
      <c r="H13" s="8">
        <v>0</v>
      </c>
      <c r="I13" s="7">
        <v>35000</v>
      </c>
    </row>
    <row r="14" spans="2:9" ht="15" customHeight="1">
      <c r="B14" s="3">
        <v>245</v>
      </c>
      <c r="C14" s="4" t="s">
        <v>21</v>
      </c>
      <c r="D14" s="5">
        <v>44940</v>
      </c>
      <c r="E14" s="4" t="s">
        <v>22</v>
      </c>
      <c r="F14" s="4"/>
      <c r="G14" s="6" t="s">
        <v>28</v>
      </c>
      <c r="H14" s="7">
        <v>4697</v>
      </c>
      <c r="I14" s="8">
        <v>0</v>
      </c>
    </row>
    <row r="15" spans="2:9" ht="15" customHeight="1">
      <c r="B15" s="3">
        <v>245</v>
      </c>
      <c r="C15" s="4" t="s">
        <v>21</v>
      </c>
      <c r="D15" s="5">
        <v>44940</v>
      </c>
      <c r="E15" s="4" t="s">
        <v>24</v>
      </c>
      <c r="F15" s="4"/>
      <c r="G15" s="6" t="s">
        <v>29</v>
      </c>
      <c r="H15" s="8">
        <v>0</v>
      </c>
      <c r="I15" s="7">
        <v>4697</v>
      </c>
    </row>
    <row r="16" spans="2:9" ht="15" customHeight="1">
      <c r="B16" s="3">
        <v>245</v>
      </c>
      <c r="C16" s="4" t="s">
        <v>21</v>
      </c>
      <c r="D16" s="5">
        <v>44940</v>
      </c>
      <c r="E16" s="4" t="s">
        <v>22</v>
      </c>
      <c r="F16" s="4"/>
      <c r="G16" s="6" t="s">
        <v>28</v>
      </c>
      <c r="H16" s="7">
        <v>14500</v>
      </c>
      <c r="I16" s="8">
        <v>0</v>
      </c>
    </row>
    <row r="17" spans="2:9" ht="15" customHeight="1">
      <c r="B17" s="3">
        <v>245</v>
      </c>
      <c r="C17" s="4" t="s">
        <v>21</v>
      </c>
      <c r="D17" s="5">
        <v>44940</v>
      </c>
      <c r="E17" s="4" t="s">
        <v>24</v>
      </c>
      <c r="F17" s="4"/>
      <c r="G17" s="6" t="s">
        <v>29</v>
      </c>
      <c r="H17" s="8">
        <v>0</v>
      </c>
      <c r="I17" s="7">
        <v>14500</v>
      </c>
    </row>
    <row r="18" spans="2:9" ht="15" customHeight="1">
      <c r="B18" s="3">
        <v>255</v>
      </c>
      <c r="C18" s="4" t="s">
        <v>21</v>
      </c>
      <c r="D18" s="5">
        <v>44957</v>
      </c>
      <c r="E18" s="4" t="s">
        <v>22</v>
      </c>
      <c r="F18" s="4"/>
      <c r="G18" s="6" t="s">
        <v>30</v>
      </c>
      <c r="H18" s="7">
        <v>62500</v>
      </c>
      <c r="I18" s="8">
        <v>0</v>
      </c>
    </row>
    <row r="19" spans="2:9" ht="15" customHeight="1">
      <c r="B19" s="3">
        <v>255</v>
      </c>
      <c r="C19" s="4" t="s">
        <v>21</v>
      </c>
      <c r="D19" s="5">
        <v>44957</v>
      </c>
      <c r="E19" s="4" t="s">
        <v>31</v>
      </c>
      <c r="F19" s="4"/>
      <c r="G19" s="6" t="s">
        <v>32</v>
      </c>
      <c r="H19" s="8">
        <v>0</v>
      </c>
      <c r="I19" s="7">
        <v>62500</v>
      </c>
    </row>
    <row r="20" spans="2:9" ht="15" customHeight="1">
      <c r="B20" s="3">
        <v>267</v>
      </c>
      <c r="C20" s="4" t="s">
        <v>33</v>
      </c>
      <c r="D20" s="5">
        <v>44957</v>
      </c>
      <c r="E20" s="9" t="s">
        <v>34</v>
      </c>
      <c r="F20" s="4" t="s">
        <v>35</v>
      </c>
      <c r="G20" s="4" t="s">
        <v>36</v>
      </c>
      <c r="H20" s="7">
        <v>2065</v>
      </c>
      <c r="I20" s="8">
        <v>0</v>
      </c>
    </row>
    <row r="21" spans="2:9" ht="15" customHeight="1">
      <c r="B21" s="3">
        <v>267</v>
      </c>
      <c r="C21" s="4" t="s">
        <v>33</v>
      </c>
      <c r="D21" s="5">
        <v>44957</v>
      </c>
      <c r="E21" s="9" t="s">
        <v>34</v>
      </c>
      <c r="F21" s="4" t="s">
        <v>37</v>
      </c>
      <c r="G21" s="4" t="s">
        <v>38</v>
      </c>
      <c r="H21" s="7">
        <v>2035</v>
      </c>
      <c r="I21" s="8">
        <v>0</v>
      </c>
    </row>
    <row r="22" spans="2:9" ht="15" customHeight="1">
      <c r="B22" s="3">
        <v>267</v>
      </c>
      <c r="C22" s="4" t="s">
        <v>33</v>
      </c>
      <c r="D22" s="5">
        <v>44957</v>
      </c>
      <c r="E22" s="9" t="s">
        <v>34</v>
      </c>
      <c r="F22" s="4" t="s">
        <v>39</v>
      </c>
      <c r="G22" s="4" t="s">
        <v>40</v>
      </c>
      <c r="H22" s="7">
        <v>2000</v>
      </c>
      <c r="I22" s="8">
        <v>0</v>
      </c>
    </row>
    <row r="23" spans="2:9" ht="15" customHeight="1">
      <c r="B23" s="3">
        <v>267</v>
      </c>
      <c r="C23" s="4" t="s">
        <v>33</v>
      </c>
      <c r="D23" s="5">
        <v>44957</v>
      </c>
      <c r="E23" s="9" t="s">
        <v>34</v>
      </c>
      <c r="F23" s="4" t="s">
        <v>41</v>
      </c>
      <c r="G23" s="6" t="s">
        <v>42</v>
      </c>
      <c r="H23" s="7">
        <v>2000</v>
      </c>
      <c r="I23" s="8">
        <v>0</v>
      </c>
    </row>
    <row r="24" spans="2:9" ht="15" customHeight="1">
      <c r="B24" s="3">
        <v>267</v>
      </c>
      <c r="C24" s="4" t="s">
        <v>33</v>
      </c>
      <c r="D24" s="5">
        <v>44957</v>
      </c>
      <c r="E24" s="4" t="s">
        <v>8</v>
      </c>
      <c r="F24" s="4"/>
      <c r="G24" s="4" t="s">
        <v>43</v>
      </c>
      <c r="H24" s="8">
        <v>0</v>
      </c>
      <c r="I24" s="7">
        <v>8100</v>
      </c>
    </row>
    <row r="25" spans="2:9" ht="15" customHeight="1">
      <c r="B25" s="3">
        <v>889</v>
      </c>
      <c r="C25" s="4" t="s">
        <v>16</v>
      </c>
      <c r="D25" s="5">
        <v>44957</v>
      </c>
      <c r="E25" s="4" t="s">
        <v>44</v>
      </c>
      <c r="F25" s="4"/>
      <c r="G25" s="4" t="s">
        <v>45</v>
      </c>
      <c r="H25" s="7">
        <v>30000</v>
      </c>
      <c r="I25" s="8">
        <v>0</v>
      </c>
    </row>
    <row r="26" spans="2:9" ht="15" customHeight="1">
      <c r="B26" s="3">
        <v>889</v>
      </c>
      <c r="C26" s="4" t="s">
        <v>16</v>
      </c>
      <c r="D26" s="5">
        <v>44957</v>
      </c>
      <c r="E26" s="4" t="s">
        <v>19</v>
      </c>
      <c r="F26" s="4"/>
      <c r="G26" s="4" t="s">
        <v>46</v>
      </c>
      <c r="H26" s="8">
        <v>0</v>
      </c>
      <c r="I26" s="7">
        <v>30000</v>
      </c>
    </row>
    <row r="27" spans="2:9" ht="15" customHeight="1">
      <c r="B27" s="3">
        <v>889</v>
      </c>
      <c r="C27" s="4" t="s">
        <v>16</v>
      </c>
      <c r="D27" s="5">
        <v>44957</v>
      </c>
      <c r="E27" s="4" t="s">
        <v>44</v>
      </c>
      <c r="F27" s="4"/>
      <c r="G27" s="4" t="s">
        <v>47</v>
      </c>
      <c r="H27" s="7">
        <v>30000</v>
      </c>
      <c r="I27" s="8">
        <v>0</v>
      </c>
    </row>
    <row r="28" spans="2:9" ht="15" customHeight="1">
      <c r="B28" s="3">
        <v>889</v>
      </c>
      <c r="C28" s="4" t="s">
        <v>16</v>
      </c>
      <c r="D28" s="5">
        <v>44957</v>
      </c>
      <c r="E28" s="4" t="s">
        <v>19</v>
      </c>
      <c r="F28" s="4"/>
      <c r="G28" s="4" t="s">
        <v>48</v>
      </c>
      <c r="H28" s="8">
        <v>0</v>
      </c>
      <c r="I28" s="7">
        <v>30000</v>
      </c>
    </row>
    <row r="29" spans="2:9" ht="15" customHeight="1">
      <c r="B29" s="3">
        <v>1521</v>
      </c>
      <c r="C29" s="4" t="s">
        <v>7</v>
      </c>
      <c r="D29" s="5">
        <v>44928</v>
      </c>
      <c r="E29" s="4" t="s">
        <v>49</v>
      </c>
      <c r="F29" s="4"/>
      <c r="G29" s="6" t="s">
        <v>50</v>
      </c>
      <c r="H29" s="7">
        <v>57945</v>
      </c>
      <c r="I29" s="8">
        <v>0</v>
      </c>
    </row>
    <row r="30" spans="2:9" ht="15" customHeight="1">
      <c r="B30" s="3">
        <v>1521</v>
      </c>
      <c r="C30" s="4" t="s">
        <v>7</v>
      </c>
      <c r="D30" s="5">
        <v>44928</v>
      </c>
      <c r="E30" s="4" t="s">
        <v>51</v>
      </c>
      <c r="F30" s="4"/>
      <c r="G30" s="6" t="s">
        <v>52</v>
      </c>
      <c r="H30" s="8">
        <v>0</v>
      </c>
      <c r="I30" s="7">
        <v>57945</v>
      </c>
    </row>
    <row r="31" spans="2:9">
      <c r="H31" s="10">
        <f>SUM(H3:H30)</f>
        <v>301412.42</v>
      </c>
      <c r="I31">
        <f>SUM(I3:I30)</f>
        <v>301412.42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V -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Mahmoud</cp:lastModifiedBy>
  <dcterms:created xsi:type="dcterms:W3CDTF">2026-07-01T08:17:53Z</dcterms:created>
  <dcterms:modified xsi:type="dcterms:W3CDTF">2026-07-01T08:38:00Z</dcterms:modified>
</cp:coreProperties>
</file>