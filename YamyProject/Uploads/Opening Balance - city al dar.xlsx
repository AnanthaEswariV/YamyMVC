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ahmoud\Downloads\"/>
    </mc:Choice>
  </mc:AlternateContent>
  <bookViews>
    <workbookView xWindow="0" yWindow="0" windowWidth="23040" windowHeight="9072"/>
  </bookViews>
  <sheets>
    <sheet name="Sheet2" sheetId="1" r:id="rId1"/>
  </sheets>
  <definedNames>
    <definedName name="_xlnm._FilterDatabase" localSheetId="0" hidden="1">Sheet2!$A$1:$L$156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6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3" i="1"/>
  <c r="J156" i="1" l="1"/>
</calcChain>
</file>

<file path=xl/sharedStrings.xml><?xml version="1.0" encoding="utf-8"?>
<sst xmlns="http://schemas.openxmlformats.org/spreadsheetml/2006/main" count="673" uniqueCount="236">
  <si>
    <t>SN</t>
  </si>
  <si>
    <t>Date</t>
  </si>
  <si>
    <t>Account</t>
  </si>
  <si>
    <t xml:space="preserve">Project </t>
  </si>
  <si>
    <t>Details</t>
  </si>
  <si>
    <t>Debit</t>
  </si>
  <si>
    <t>Credit</t>
  </si>
  <si>
    <t>Transaction Type</t>
  </si>
  <si>
    <t>ابن الديرة</t>
  </si>
  <si>
    <t>Accounts Payables</t>
  </si>
  <si>
    <t>دمج البيانات من نوبل الى نظام يامى -مسلسل-5-اسم الحساب من نوبل-ابن الديرة-</t>
  </si>
  <si>
    <t>رصيد افتتاحى</t>
  </si>
  <si>
    <t>Manual</t>
  </si>
  <si>
    <t>الأثرى للتجارة العامة</t>
  </si>
  <si>
    <t>دمج البيانات من نوبل الى نظام يامى -مسلسل-5-اسم الحساب من نوبل-الأثرى للتجارة العامة-</t>
  </si>
  <si>
    <t>الباب الفضى</t>
  </si>
  <si>
    <t>دمج البيانات من نوبل الى نظام يامى -مسلسل-5-اسم الحساب من نوبل-الباب الفضى-</t>
  </si>
  <si>
    <t>البرج الذهبى لمواد البناء</t>
  </si>
  <si>
    <t>دمج البيانات من نوبل الى نظام يامى -مسلسل-5-اسم الحساب من نوبل-البرج الذهبى لمواد البناء-</t>
  </si>
  <si>
    <t>البرق اللامع</t>
  </si>
  <si>
    <t>دمج البيانات من نوبل الى نظام يامى -مسلسل-5-اسم الحساب من نوبل-البرق اللامع-</t>
  </si>
  <si>
    <t>الجاسر لتجارة عدد وأدوات البناء</t>
  </si>
  <si>
    <t>دمج البيانات من نوبل الى نظام يامى -مسلسل-5-اسم الحساب من نوبل-الجاسر لتجارة عدد وأدوات البناء-</t>
  </si>
  <si>
    <t>الزينة لأعمال الألمونيوم والزجاج</t>
  </si>
  <si>
    <t>دمج البيانات من نوبل الى نظام يامى -مسلسل-5-اسم الحساب من نوبل-الزينة لأعمال الألمونيوم والزجاج-</t>
  </si>
  <si>
    <t>هكسي الرخام والجرانيت</t>
  </si>
  <si>
    <t>دمج البيانات من نوبل الى نظام يامى -مسلسل-5-اسم الحساب من نوبل-هكسي الرخام والجرانيت-</t>
  </si>
  <si>
    <t>المنال لأعمال الألمونيوم</t>
  </si>
  <si>
    <t>دمج البيانات من نوبل الى نظام يامى -مسلسل-5-اسم الحساب من نوبل-المنال لأعمال الألمونيوم-</t>
  </si>
  <si>
    <t>الوطنية للتعهدات والصناعة</t>
  </si>
  <si>
    <t>دمج البيانات من نوبل الى نظام يامى -مسلسل-5-اسم الحساب من نوبل-الوطنية للتعهدات والصناعة-</t>
  </si>
  <si>
    <t>او اس لاعمال الألومنيوم والزجاج</t>
  </si>
  <si>
    <t>دمج البيانات من نوبل الى نظام يامى -مسلسل-5-اسم الحساب من نوبل-او اس لاعمال الألومنيوم والزجاج-</t>
  </si>
  <si>
    <t>باشا خان للرمل</t>
  </si>
  <si>
    <t>دمج البيانات من نوبل الى نظام يامى -مسلسل-5-اسم الحساب من نوبل-باشا خان للرمل-</t>
  </si>
  <si>
    <t>باور سكل</t>
  </si>
  <si>
    <t>دمج البيانات من نوبل الى نظام يامى -مسلسل-5-اسم الحساب من نوبل-باور سكل-</t>
  </si>
  <si>
    <t>بيتكا لمواد التكييف والعزل</t>
  </si>
  <si>
    <t>دمج البيانات من نوبل الى نظام يامى -مسلسل-5-اسم الحساب من نوبل-بيتكا لمواد التكييف والعزل-</t>
  </si>
  <si>
    <t>تايلس اند بات لمواد البناء</t>
  </si>
  <si>
    <t>دمج البيانات من نوبل الى نظام يامى -مسلسل-5-اسم الحساب من نوبل-تايلس اند بات لمواد البناء-</t>
  </si>
  <si>
    <t>تكييف لتجارة التكييف</t>
  </si>
  <si>
    <t>دمج البيانات من نوبل الى نظام يامى -مسلسل-5-اسم الحساب من نوبل-تكييف لتجارة التكييف-</t>
  </si>
  <si>
    <t>جرين ارت للاستشارات الهندسية</t>
  </si>
  <si>
    <t>دمج البيانات من نوبل الى نظام يامى -مسلسل-5-اسم الحساب من نوبل-جرين ارت للاستشارات الهندسية-</t>
  </si>
  <si>
    <t>رايسينج روف</t>
  </si>
  <si>
    <t>دمج البيانات من نوبل الى نظام يامى -مسلسل-5-اسم الحساب من نوبل-رايسينج روف-</t>
  </si>
  <si>
    <t>رمز التحدى للمقاولات العامة</t>
  </si>
  <si>
    <t>دمج البيانات من نوبل الى نظام يامى -مسلسل-5-اسم الحساب من نوبل-رمز التحدى للمقاولات العامة-</t>
  </si>
  <si>
    <t>سبيشياليست للابواب والنوافذ</t>
  </si>
  <si>
    <t>دمج البيانات من نوبل الى نظام يامى -مسلسل-5-اسم الحساب من نوبل-سبيشياليست للابواب والنوافذ-</t>
  </si>
  <si>
    <t>سوبر اكسبرس</t>
  </si>
  <si>
    <t>دمج البيانات من نوبل الى نظام يامى -مسلسل-5-اسم الحساب من نوبل-سوبر اكسبرس-</t>
  </si>
  <si>
    <t>سويتش للميكانيك والكهرباء</t>
  </si>
  <si>
    <t>دمج البيانات من نوبل الى نظام يامى -مسلسل-5-اسم الحساب من نوبل-سويتش للميكانيك والكهرباء-</t>
  </si>
  <si>
    <t>سيلين للتجارة العامة</t>
  </si>
  <si>
    <t>دمج البيانات من نوبل الى نظام يامى -مسلسل-5-اسم الحساب من نوبل-سيلين للتجارة العامة-</t>
  </si>
  <si>
    <t>الترا فورس للخرسانة</t>
  </si>
  <si>
    <t>دمج البيانات من نوبل الى نظام يامى -مسلسل-5-اسم الحساب من نوبل-الترا فورس للخرسانة-</t>
  </si>
  <si>
    <t>شكاى للنقليات</t>
  </si>
  <si>
    <t>دمج البيانات من نوبل الى نظام يامى -مسلسل-5-اسم الحساب من نوبل-شكاى للنقليات-</t>
  </si>
  <si>
    <t>فقير خان للمياه</t>
  </si>
  <si>
    <t>دمج البيانات من نوبل الى نظام يامى -مسلسل-5-اسم الحساب من نوبل-فقير خان للمياه-</t>
  </si>
  <si>
    <t>كاسل جيتس</t>
  </si>
  <si>
    <t>دمج البيانات من نوبل الى نظام يامى -مسلسل-5-اسم الحساب من نوبل-كاسل جيتس-</t>
  </si>
  <si>
    <t>كالاكتا للديكور وتركيب الحجر</t>
  </si>
  <si>
    <t>دمج البيانات من نوبل الى نظام يامى -مسلسل-5-اسم الحساب من نوبل-كالاكتا للديكور وتركيب الحجر-</t>
  </si>
  <si>
    <t>كوهار للنقليات-تيمور</t>
  </si>
  <si>
    <t>دمج البيانات من نوبل الى نظام يامى -مسلسل-5-اسم الحساب من نوبل-كوهار للنقليات-تيمور-</t>
  </si>
  <si>
    <t>كوهار للنقليات-عاصف</t>
  </si>
  <si>
    <t>دمج البيانات من نوبل الى نظام يامى -مسلسل-5-اسم الحساب من نوبل-كوهار للنقليات-عاصف-</t>
  </si>
  <si>
    <t>لمار لتجارة السيراميك</t>
  </si>
  <si>
    <t>دمج البيانات من نوبل الى نظام يامى -مسلسل-5-اسم الحساب من نوبل-لمار لتجارة السيراميك-</t>
  </si>
  <si>
    <t>ليمنار للتكييف</t>
  </si>
  <si>
    <t>دمج البيانات من نوبل الى نظام يامى -مسلسل-5-اسم الحساب من نوبل-ليمنار للتكييف-</t>
  </si>
  <si>
    <t>مترو جلاس</t>
  </si>
  <si>
    <t>دمج البيانات من نوبل الى نظام يامى -مسلسل-5-اسم الحساب من نوبل-مترو جلاس-</t>
  </si>
  <si>
    <t>محل التمنى</t>
  </si>
  <si>
    <t>دمج البيانات من نوبل الى نظام يامى -مسلسل-5-اسم الحساب من نوبل-محل التمنى-</t>
  </si>
  <si>
    <t>مختبر بازلت</t>
  </si>
  <si>
    <t>دمج البيانات من نوبل الى نظام يامى -مسلسل-5-اسم الحساب من نوبل-مختبر بازلت-</t>
  </si>
  <si>
    <t>مصنع البيت الشرقى</t>
  </si>
  <si>
    <t>دمج البيانات من نوبل الى نظام يامى -مسلسل-5-اسم الحساب من نوبل-مصنع البيت الشرقى-</t>
  </si>
  <si>
    <t>منجرة الخيالى</t>
  </si>
  <si>
    <t>دمج البيانات من نوبل الى نظام يامى -مسلسل-5-اسم الحساب من نوبل-منجرة الخيالى-</t>
  </si>
  <si>
    <t>منجرة زلفى اخوان</t>
  </si>
  <si>
    <t>دمج البيانات من نوبل الى نظام يامى -مسلسل-5-اسم الحساب من نوبل-منجرة زلفى اخوان-</t>
  </si>
  <si>
    <t>مؤسسة أبراج العين للنقليات</t>
  </si>
  <si>
    <t>دمج البيانات من نوبل الى نظام يامى -مسلسل-5-اسم الحساب من نوبل-مؤسسة أبراج العين للنقليات-</t>
  </si>
  <si>
    <t>مؤسسة الأزمان جولدن</t>
  </si>
  <si>
    <t>دمج البيانات من نوبل الى نظام يامى -مسلسل-5-اسم الحساب من نوبل-مؤسسة الأزمان جولدن-</t>
  </si>
  <si>
    <t>مؤسسة الشرق الأوسط</t>
  </si>
  <si>
    <t>دمج البيانات من نوبل الى نظام يامى -مسلسل-5-اسم الحساب من نوبل-مؤسسة الشرق الأوسط-</t>
  </si>
  <si>
    <t>مؤسسة المياسى</t>
  </si>
  <si>
    <t>دمج البيانات من نوبل الى نظام يامى -مسلسل-5-اسم الحساب من نوبل-مؤسسة المياسى-</t>
  </si>
  <si>
    <t>مؤسسة صفد التجارية</t>
  </si>
  <si>
    <t>دمج البيانات من نوبل الى نظام يامى -مسلسل-5-اسم الحساب من نوبل-مؤسسة صفد التجارية-</t>
  </si>
  <si>
    <t>نصراوى</t>
  </si>
  <si>
    <t>دمج البيانات من نوبل الى نظام يامى -مسلسل-5-اسم الحساب من نوبل-نصراوى-</t>
  </si>
  <si>
    <t>نصراوى كاش</t>
  </si>
  <si>
    <t>دمج البيانات من نوبل الى نظام يامى -مسلسل-5-اسم الحساب من نوبل-نصراوى كاش-</t>
  </si>
  <si>
    <t>هواء للتكييف</t>
  </si>
  <si>
    <t>دمج البيانات من نوبل الى نظام يامى -مسلسل-5-اسم الحساب من نوبل-هواء للتكييف-</t>
  </si>
  <si>
    <t>واثق زمان شودرى</t>
  </si>
  <si>
    <t>دمج البيانات من نوبل الى نظام يامى -مسلسل-5-اسم الحساب من نوبل-واثق زمان شودرى-</t>
  </si>
  <si>
    <t>وايت ستون للحجر</t>
  </si>
  <si>
    <t>دمج البيانات من نوبل الى نظام يامى -مسلسل-5-اسم الحساب من نوبل-وايت ستون للحجر-</t>
  </si>
  <si>
    <t>Contra Account</t>
  </si>
  <si>
    <t>دمج البيانات من نوبل الى نظام يامى -مسلسل-5-اسم الحساب من نوبل-Contra Account-</t>
  </si>
  <si>
    <t>زين الظفرة للتنظيفات</t>
  </si>
  <si>
    <t>دمج البيانات من نوبل الى نظام يامى -مسلسل-5-اسم الحساب من نوبل-زين الظفرة للتنظيفات-</t>
  </si>
  <si>
    <t>هيروتك للتجارة العامة</t>
  </si>
  <si>
    <t>دمج البيانات من نوبل الى نظام يامى -مسلسل-5-اسم الحساب من نوبل-هيروتك للتجارة العامة-</t>
  </si>
  <si>
    <t>مصنع بلدكو</t>
  </si>
  <si>
    <t>دمج البيانات من نوبل الى نظام يامى -مسلسل-5-اسم الحساب من نوبل-مصنع بلدكو-</t>
  </si>
  <si>
    <t>Machinery - Value</t>
  </si>
  <si>
    <t>دمج البيانات من نوبل الى نظام يامى -مسلسل-8-اسم الحساب من نوبل-السقالات-</t>
  </si>
  <si>
    <t>الرصيد الافتتاحى</t>
  </si>
  <si>
    <t>دمج البيانات من نوبل الى نظام يامى -مسلسل-8-اسم الحساب من نوبل-برامج-</t>
  </si>
  <si>
    <t>Vehicles - Value</t>
  </si>
  <si>
    <t>دمج البيانات من نوبل الى نظام يامى -مسلسل-8-اسم الحساب من نوبل-Vehicles.-original Value-</t>
  </si>
  <si>
    <t>مصرف ابوظبي الاسلامى</t>
  </si>
  <si>
    <t>دمج البيانات من نوبل الى نظام يامى -مسلسل-8-اسم الحساب من نوبل-مصرف ابوظبي الاسلامى-</t>
  </si>
  <si>
    <t>بنك الفجيرة</t>
  </si>
  <si>
    <t>دمج البيانات من نوبل الى نظام يامى -مسلسل-8-اسم الحساب من نوبل-بنك الفجيرة-</t>
  </si>
  <si>
    <t>Other Creditors</t>
  </si>
  <si>
    <t>دمج البيانات من نوبل الى نظام يامى -مسلسل-8-اسم الحساب من نوبل-بنك دبي الاسلامى-</t>
  </si>
  <si>
    <t>PDC Payable</t>
  </si>
  <si>
    <t>دمج البيانات من نوبل الى نظام يامى -مسلسل-8-اسم الحساب من نوبل-Pdc's Issued-</t>
  </si>
  <si>
    <t>Other Income</t>
  </si>
  <si>
    <t>دمج البيانات من نوبل الى نظام يامى -مسلسل-8-اسم الحساب من نوبل-Miscellaneous Revenues-</t>
  </si>
  <si>
    <t>دمج البيانات من نوبل الى نظام يامى -مسلسل-8-اسم الحساب من نوبل-Purchases Discount-</t>
  </si>
  <si>
    <t>Salary Advance</t>
  </si>
  <si>
    <t>دمج البيانات من نوبل الى نظام يامى -مسلسل-8-اسم الحساب من نوبل-سلفة اجمل فيزة-</t>
  </si>
  <si>
    <t>دمج البيانات من نوبل الى نظام يامى -مسلسل-8-اسم الحساب من نوبل-سلفة العامل قاسم فيزة-</t>
  </si>
  <si>
    <t>دمج البيانات من نوبل الى نظام يامى -مسلسل-8-اسم الحساب من نوبل-سلفة ايمون فيزة-</t>
  </si>
  <si>
    <t>دمج البيانات من نوبل الى نظام يامى -مسلسل-8-اسم الحساب من نوبل-سلفة باوان فيزة-</t>
  </si>
  <si>
    <t>دمج البيانات من نوبل الى نظام يامى -مسلسل-8-اسم الحساب من نوبل-سلفة جبير فيزة-</t>
  </si>
  <si>
    <t>دمج البيانات من نوبل الى نظام يامى -مسلسل-8-اسم الحساب من نوبل-سلفة ديوان بيرو فيزة-</t>
  </si>
  <si>
    <t>دمج البيانات من نوبل الى نظام يامى -مسلسل-8-اسم الحساب من نوبل-سلفة راجبالى فيزة-</t>
  </si>
  <si>
    <t>دمج البيانات من نوبل الى نظام يامى -مسلسل-8-اسم الحساب من نوبل-سلفة رحيل فيزة-</t>
  </si>
  <si>
    <t>دمج البيانات من نوبل الى نظام يامى -مسلسل-8-اسم الحساب من نوبل-سلفة سليم فيزة-</t>
  </si>
  <si>
    <t>دمج البيانات من نوبل الى نظام يامى -مسلسل-8-اسم الحساب من نوبل-سلفة سليمان فيزة-</t>
  </si>
  <si>
    <t>دمج البيانات من نوبل الى نظام يامى -مسلسل-8-اسم الحساب من نوبل-سلفة شيلكون فيزة-</t>
  </si>
  <si>
    <t>دمج البيانات من نوبل الى نظام يامى -مسلسل-8-اسم الحساب من نوبل-سلفة عبدالرحيم فيزة-</t>
  </si>
  <si>
    <t>دمج البيانات من نوبل الى نظام يامى -مسلسل-8-اسم الحساب من نوبل-سلفة عبدالقادر فيزة-</t>
  </si>
  <si>
    <t>دمج البيانات من نوبل الى نظام يامى -مسلسل-8-اسم الحساب من نوبل-سلفة عرفان-</t>
  </si>
  <si>
    <t>دمج البيانات من نوبل الى نظام يامى -مسلسل-8-اسم الحساب من نوبل-سلفة علاء العقله-</t>
  </si>
  <si>
    <t>دمج البيانات من نوبل الى نظام يامى -مسلسل-8-اسم الحساب من نوبل-سلفة عمران خان-</t>
  </si>
  <si>
    <t>دمج البيانات من نوبل الى نظام يامى -مسلسل-8-اسم الحساب من نوبل-سلفة فيصل فيزة-</t>
  </si>
  <si>
    <t>دمج البيانات من نوبل الى نظام يامى -مسلسل-8-اسم الحساب من نوبل-سلفة كومار-</t>
  </si>
  <si>
    <t>دمج البيانات من نوبل الى نظام يامى -مسلسل-8-اسم الحساب من نوبل-سلفة محمد عمران فيزة-</t>
  </si>
  <si>
    <t>دمج البيانات من نوبل الى نظام يامى -مسلسل-8-اسم الحساب من نوبل-سلفة نرمل داس فيزة-</t>
  </si>
  <si>
    <t>دمج البيانات من نوبل الى نظام يامى -مسلسل-8-اسم الحساب من نوبل-سلفة ننهاكو فيزه-</t>
  </si>
  <si>
    <t>Petty Cash Imprest</t>
  </si>
  <si>
    <t>دمج البيانات من نوبل الى نظام يامى -مسلسل-8-اسم الحساب من نوبل-عهدة الشبراوي-</t>
  </si>
  <si>
    <t>دمج البيانات من نوبل الى نظام يامى -مسلسل-8-اسم الحساب من نوبل-عهدة حمد-</t>
  </si>
  <si>
    <t>دمج البيانات من نوبل الى نظام يامى -مسلسل-8-اسم الحساب من نوبل-عهدة شبير-</t>
  </si>
  <si>
    <t>دمج البيانات من نوبل الى نظام يامى -مسلسل-8-اسم الحساب من نوبل-عهدة قاسم-</t>
  </si>
  <si>
    <t>دمج البيانات من نوبل الى نظام يامى -مسلسل-8-اسم الحساب من نوبل-عهدة مهندس علي-</t>
  </si>
  <si>
    <t>دمج البيانات من نوبل الى نظام يامى -مسلسل-8-اسم الحساب من نوبل-عهدة مادار-</t>
  </si>
  <si>
    <t>دمج البيانات من نوبل الى نظام يامى -مسلسل-8-اسم الحساب من نوبل-عهدة محمد العقلة-</t>
  </si>
  <si>
    <t>دمج البيانات من نوبل الى نظام يامى -مسلسل-8-اسم الحساب من نوبل-عهدة موسي-</t>
  </si>
  <si>
    <t>Miscellaneous Expenses</t>
  </si>
  <si>
    <t>دمج البيانات من نوبل الى نظام يامى -مسلسل-8-اسم الحساب من نوبل-مصروفات عمومية وأدارية-</t>
  </si>
  <si>
    <t>شركة الانماء</t>
  </si>
  <si>
    <t>دمج البيانات من نوبل الى نظام يامى -مسلسل-8-اسم الحساب من نوبل-شركة الانماء-</t>
  </si>
  <si>
    <t>كفالات الانماء</t>
  </si>
  <si>
    <t>دمج البيانات من نوبل الى نظام يامى -مسلسل-8-اسم الحساب من نوبل-كفالات الانماء-</t>
  </si>
  <si>
    <t>كفالات مدينة الدار</t>
  </si>
  <si>
    <t>دمج البيانات من نوبل الى نظام يامى -مسلسل-8-اسم الحساب من نوبل-كفالات مدينة الدار-</t>
  </si>
  <si>
    <t>العملاء</t>
  </si>
  <si>
    <t>دمج البيانات من نوبل الى نظام يامى -مسلسل-8-اسم الحساب من نوبل-سالم المرر-</t>
  </si>
  <si>
    <t>دمج البيانات من نوبل الى نظام يامى -مسلسل-8-اسم الحساب من نوبل-سليمان الحمادى*لقمان-</t>
  </si>
  <si>
    <t>دمج البيانات من نوبل الى نظام يامى -مسلسل-8-اسم الحساب من نوبل-عبدالله الظاهرى-</t>
  </si>
  <si>
    <t>دمج البيانات من نوبل الى نظام يامى -مسلسل-8-اسم الحساب من نوبل-محمد حمد سيف-</t>
  </si>
  <si>
    <t>FTA</t>
  </si>
  <si>
    <t>دمج البيانات من نوبل الى نظام يامى -مسلسل-8-اسم الحساب من نوبل-FTA-</t>
  </si>
  <si>
    <t>دمج البيانات من نوبل الى نظام يامى -مسلسل-8-اسم الحساب من نوبل-Contra Account-</t>
  </si>
  <si>
    <t>Accrued Salaries</t>
  </si>
  <si>
    <t>دمج البيانات من نوبل الى نظام يامى -مسلسل-8-اسم الحساب من نوبل-Staff Accrued Salaries-</t>
  </si>
  <si>
    <t>Insurance - Vehicles</t>
  </si>
  <si>
    <t>دمج البيانات من نوبل الى نظام يامى -مسلسل-8-اسم الحساب من نوبل-Insurance-vehicles-</t>
  </si>
  <si>
    <t>Deposits</t>
  </si>
  <si>
    <t>دمج البيانات من نوبل الى نظام يامى -مسلسل-8-اسم الحساب من نوبل-تأمين مياه وكهرباء احمد الحمادى-</t>
  </si>
  <si>
    <t>دمج البيانات من نوبل الى نظام يامى -مسلسل-8-اسم الحساب من نوبل-تأمين مياه وكهرباء احمد الماس المرر-</t>
  </si>
  <si>
    <t>دمج البيانات من نوبل الى نظام يامى -مسلسل-8-اسم الحساب من نوبل-تأمين مياه وكهرباء ايمان الحمادى-</t>
  </si>
  <si>
    <t>دمج البيانات من نوبل الى نظام يامى -مسلسل-8-اسم الحساب من نوبل-تأمين مياه وكهرباء سيف الهاملى-</t>
  </si>
  <si>
    <t>دمج البيانات من نوبل الى نظام يامى -مسلسل-8-اسم الحساب من نوبل-تأمين مياه وكهرباء عبدالله الظاهرى-</t>
  </si>
  <si>
    <t>دمج البيانات من نوبل الى نظام يامى -مسلسل-8-اسم الحساب من نوبل-تأمين مياه وكهرباء عفراء المزروعى-</t>
  </si>
  <si>
    <t>دمج البيانات من نوبل الى نظام يامى -مسلسل-8-اسم الحساب من نوبل-تأمين مياه وكهرباء موسى المزروعى-</t>
  </si>
  <si>
    <t>دمج البيانات من نوبل الى نظام يامى -مسلسل-8-اسم الحساب من نوبل-تأمين مياه وكهرباء مؤسسة المزروعى-</t>
  </si>
  <si>
    <t>دمج البيانات من نوبل الى نظام يامى -مسلسل-8-اسم الحساب من نوبل-تأمين مياه وكهرباء هلال سويح-</t>
  </si>
  <si>
    <t>دمج البيانات من نوبل الى نظام يامى -مسلسل-8-اسم الحساب من نوبل-عهدة م على (راتب)-</t>
  </si>
  <si>
    <t>دمج البيانات من نوبل الى نظام يامى -مسلسل-8-اسم الحساب من نوبل-اضافى عمال مستحق-</t>
  </si>
  <si>
    <t>دمج البيانات من نوبل الى نظام يامى -مسلسل-1461-اسم الحساب من نوبل-سلفة عمران خان-</t>
  </si>
  <si>
    <t>رقم سند الدفع : 1280 - الرصيد الافتتاحى</t>
  </si>
  <si>
    <t>Automatic</t>
  </si>
  <si>
    <t>دمج البيانات من نوبل الى نظام يامى -مسلسل-1461-اسم الحساب من نوبل-Contra Account-</t>
  </si>
  <si>
    <t>Retention Receivable</t>
  </si>
  <si>
    <t>دمج البيانات من نوبل الى نظام يامى -مسلسل-2465-اسم الحساب من نوبل-فيلا محمد عبدالله الحمادى Retention-</t>
  </si>
  <si>
    <t>دمج البيانات من نوبل الى نظام يامى -مسلسل-2465-اسم الحساب من نوبل-فيلا عفراء المزروعى Retention-</t>
  </si>
  <si>
    <t>دمج البيانات من نوبل الى نظام يامى -مسلسل-2465-اسم الحساب من نوبل-فيلا عبدالله الظاهرى Retention-</t>
  </si>
  <si>
    <t>دمج البيانات من نوبل الى نظام يامى -مسلسل-2465-اسم الحساب من نوبل-فيلا احمد بخيت الهاملى Retention-</t>
  </si>
  <si>
    <t>دمج البيانات من نوبل الى نظام يامى -مسلسل-2465-اسم الحساب من نوبل-فيلا احمد بلكور المزروعى Retention-</t>
  </si>
  <si>
    <t>دمج البيانات من نوبل الى نظام يامى -مسلسل-2465-اسم الحساب من نوبل-فيلا عبدالله سلطان الحمادى Retention-</t>
  </si>
  <si>
    <t>دمج البيانات من نوبل الى نظام يامى -مسلسل-2465-اسم الحساب من نوبل-فيلا سالمين المزروعى Retention-</t>
  </si>
  <si>
    <t>دمج البيانات من نوبل الى نظام يامى -مسلسل-2465-اسم الحساب من نوبل-فيلا سالم راشد المنصورى Retention-</t>
  </si>
  <si>
    <t>دمج البيانات من نوبل الى نظام يامى -مسلسل-2465-اسم الحساب من نوبل-فيلا محمد مرشد المرر Retention-</t>
  </si>
  <si>
    <t>دمج البيانات من نوبل الى نظام يامى -مسلسل-2465-اسم الحساب من نوبل-فيلا راشد صميم المنصورى Retention-</t>
  </si>
  <si>
    <t>دمج البيانات من نوبل الى نظام يامى -مسلسل-2465-اسم الحساب من نوبل-فيلا هلال سويح Retention-</t>
  </si>
  <si>
    <t>دمج البيانات من نوبل الى نظام يامى -مسلسل-2465-اسم الحساب من نوبل-فيلا احمد الحمادى Retention-</t>
  </si>
  <si>
    <t>دمج البيانات من نوبل الى نظام يامى -مسلسل-2465-اسم الحساب من نوبل-فيلا سيف الهاملي مدينة زايد Retention-</t>
  </si>
  <si>
    <t>دمج البيانات من نوبل الى نظام يامى -مسلسل-2465-اسم الحساب من نوبل-فيلا عبيد الهاملى Retention-</t>
  </si>
  <si>
    <t>دمج البيانات من نوبل الى نظام يامى -مسلسل-2465-اسم الحساب من نوبل-فيلا محمد راشد المنصورى Retention-</t>
  </si>
  <si>
    <t>دمج البيانات من نوبل الى نظام يامى -مسلسل-2465-اسم الحساب من نوبل-فيلا احمد المهيري المزروعي Retention-</t>
  </si>
  <si>
    <t>دمج البيانات من نوبل الى نظام يامى -مسلسل-2465-اسم الحساب من نوبل-فيلا على احمد المحرمى Retention-</t>
  </si>
  <si>
    <t>دمج البيانات من نوبل الى نظام يامى -مسلسل-2465-اسم الحساب من نوبل-فيلا محمد بخيت المزروعى Retention-</t>
  </si>
  <si>
    <t>دمج البيانات من نوبل الى نظام يامى -مسلسل-2465-اسم الحساب من نوبل-مجالس محمد على المرر Retention-</t>
  </si>
  <si>
    <t>دمج البيانات من نوبل الى نظام يامى -مسلسل-2465-اسم الحساب من نوبل-فيلا محمد الظاهرى Retention-</t>
  </si>
  <si>
    <t>دمج البيانات من نوبل الى نظام يامى -مسلسل-2465-اسم الحساب من نوبل-بناية مؤسسة المزروعى للتوريدات Retention-</t>
  </si>
  <si>
    <t>دمج البيانات من نوبل الى نظام يامى -مسلسل-2465-اسم الحساب من نوبل-فيلا سهيل المزروعى Retention-</t>
  </si>
  <si>
    <t>دمج البيانات من نوبل الى نظام يامى -مسلسل-2465-اسم الحساب من نوبل-فيلا احمد الماس المرر Retention-</t>
  </si>
  <si>
    <t>other Debtors</t>
  </si>
  <si>
    <t>دمج البيانات من نوبل الى نظام يامى -مسلسل-2465-اسم الحساب من نوبل-تسويات سنوات سابقه مدينة-</t>
  </si>
  <si>
    <t>دمج البيانات من نوبل الى نظام يامى -مسلسل-2465-اسم الحساب من نوبل-Contra Account-</t>
  </si>
  <si>
    <t>دمج البيانات من نوبل الى نظام يامى -مسلسل-2465-اسم الحساب من نوبل-مدينون تجاريون-</t>
  </si>
  <si>
    <t>مخصص استكمال مشاريع</t>
  </si>
  <si>
    <t>دمج البيانات من نوبل الى نظام يامى -مسلسل-2465-اسم الحساب من نوبل-مخصص استكمال مشاريع-</t>
  </si>
  <si>
    <t>Retained Earnings</t>
  </si>
  <si>
    <t>دمج البيانات من نوبل الى نظام يامى -مسلسل-2465-اسم الحساب من نوبل-Current Earnings-</t>
  </si>
  <si>
    <t>VAT Output</t>
  </si>
  <si>
    <t>دمج البيانات من نوبل الى نظام يامى -مسلسل-2465-اسم الحساب من نوبل-Value Added Tax (VAT IN)-</t>
  </si>
  <si>
    <t>Description</t>
  </si>
  <si>
    <t>supplier</t>
  </si>
  <si>
    <t>Computer &amp; Software -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</si>
</sst>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0"/>
      <color theme="1"/>
      <name val="Times New Roman"/>
      <family val="2"/>
    </font>
    <font>
      <u/>
      <sz val="10"/>
      <color theme="10"/>
      <name val="Times New Roman"/>
      <family val="2"/>
    </font>
    <font>
      <b/>
      <sz val="9"/>
      <color theme="1"/>
      <name val="Arial Unicode MS"/>
    </font>
    <font>
      <sz val="9"/>
      <color theme="1"/>
      <name val="Arial Unicode MS"/>
    </font>
    <font>
      <sz val="10"/>
      <color theme="1"/>
      <name val="Times New Roman"/>
      <family val="1"/>
    </font>
    <font>
      <b/>
      <sz val="7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14" fontId="2" fillId="0" borderId="0" xfId="0" applyNumberFormat="1" applyFont="1" applyAlignment="1">
      <alignment wrapText="1"/>
    </xf>
    <xf numFmtId="0" fontId="3" fillId="0" borderId="0" xfId="0" applyFont="1" applyAlignment="1">
      <alignment wrapText="1"/>
    </xf>
    <xf numFmtId="4" fontId="3" fillId="0" borderId="0" xfId="0" applyNumberFormat="1" applyFont="1" applyAlignment="1">
      <alignment horizontal="right" wrapText="1"/>
    </xf>
    <xf numFmtId="0" fontId="3" fillId="0" borderId="0" xfId="0" applyFont="1" applyAlignment="1">
      <alignment horizontal="right" wrapText="1"/>
    </xf>
    <xf numFmtId="0" fontId="1" fillId="0" borderId="0" xfId="1" applyBorder="1" applyAlignment="1">
      <alignment wrapText="1"/>
    </xf>
    <xf numFmtId="0" fontId="4" fillId="0" borderId="0" xfId="0" applyFont="1"/>
    <xf numFmtId="4" fontId="0" fillId="0" borderId="0" xfId="0" applyNumberFormat="1"/>
    <xf numFmtId="4" fontId="5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javascript:__doPostBack('gvReport$ctl14798$imgbtn','')" TargetMode="External"/><Relationship Id="rId117" Type="http://schemas.openxmlformats.org/officeDocument/2006/relationships/hyperlink" Target="javascript:__doPostBack('gvReport$ctl29294$imgbtn','')" TargetMode="External"/><Relationship Id="rId21" Type="http://schemas.openxmlformats.org/officeDocument/2006/relationships/hyperlink" Target="javascript:__doPostBack('gvReport$ctl14793$imgbtn','')" TargetMode="External"/><Relationship Id="rId42" Type="http://schemas.openxmlformats.org/officeDocument/2006/relationships/hyperlink" Target="javascript:__doPostBack('gvReport$ctl14814$imgbtn','')" TargetMode="External"/><Relationship Id="rId47" Type="http://schemas.openxmlformats.org/officeDocument/2006/relationships/hyperlink" Target="javascript:__doPostBack('gvReport$ctl14819$imgbtn','')" TargetMode="External"/><Relationship Id="rId63" Type="http://schemas.openxmlformats.org/officeDocument/2006/relationships/hyperlink" Target="javascript:__doPostBack('gvReport$ctl14892$imgbtn','')" TargetMode="External"/><Relationship Id="rId68" Type="http://schemas.openxmlformats.org/officeDocument/2006/relationships/hyperlink" Target="javascript:__doPostBack('gvReport$ctl14897$imgbtn','')" TargetMode="External"/><Relationship Id="rId84" Type="http://schemas.openxmlformats.org/officeDocument/2006/relationships/hyperlink" Target="javascript:__doPostBack('gvReport$ctl14913$imgbtn','')" TargetMode="External"/><Relationship Id="rId89" Type="http://schemas.openxmlformats.org/officeDocument/2006/relationships/hyperlink" Target="javascript:__doPostBack('gvReport$ctl14918$imgbtn','')" TargetMode="External"/><Relationship Id="rId112" Type="http://schemas.openxmlformats.org/officeDocument/2006/relationships/hyperlink" Target="javascript:__doPostBack('gvReport$ctl14941$imgbtn','')" TargetMode="External"/><Relationship Id="rId133" Type="http://schemas.openxmlformats.org/officeDocument/2006/relationships/hyperlink" Target="javascript:__doPostBack('gvReport$ctl29310$imgbtn','')" TargetMode="External"/><Relationship Id="rId138" Type="http://schemas.openxmlformats.org/officeDocument/2006/relationships/hyperlink" Target="javascript:__doPostBack('gvReport$ctl29315$imgbtn','')" TargetMode="External"/><Relationship Id="rId154" Type="http://schemas.openxmlformats.org/officeDocument/2006/relationships/printerSettings" Target="../printerSettings/printerSettings1.bin"/><Relationship Id="rId16" Type="http://schemas.openxmlformats.org/officeDocument/2006/relationships/hyperlink" Target="javascript:__doPostBack('gvReport$ctl14788$imgbtn','')" TargetMode="External"/><Relationship Id="rId107" Type="http://schemas.openxmlformats.org/officeDocument/2006/relationships/hyperlink" Target="javascript:__doPostBack('gvReport$ctl14936$imgbtn','')" TargetMode="External"/><Relationship Id="rId11" Type="http://schemas.openxmlformats.org/officeDocument/2006/relationships/hyperlink" Target="javascript:__doPostBack('gvReport$ctl14783$imgbtn','')" TargetMode="External"/><Relationship Id="rId32" Type="http://schemas.openxmlformats.org/officeDocument/2006/relationships/hyperlink" Target="javascript:__doPostBack('gvReport$ctl14804$imgbtn','')" TargetMode="External"/><Relationship Id="rId37" Type="http://schemas.openxmlformats.org/officeDocument/2006/relationships/hyperlink" Target="javascript:__doPostBack('gvReport$ctl14809$imgbtn','')" TargetMode="External"/><Relationship Id="rId53" Type="http://schemas.openxmlformats.org/officeDocument/2006/relationships/hyperlink" Target="javascript:__doPostBack('gvReport$ctl14882$imgbtn','')" TargetMode="External"/><Relationship Id="rId58" Type="http://schemas.openxmlformats.org/officeDocument/2006/relationships/hyperlink" Target="javascript:__doPostBack('gvReport$ctl14887$imgbtn','')" TargetMode="External"/><Relationship Id="rId74" Type="http://schemas.openxmlformats.org/officeDocument/2006/relationships/hyperlink" Target="javascript:__doPostBack('gvReport$ctl14903$imgbtn','')" TargetMode="External"/><Relationship Id="rId79" Type="http://schemas.openxmlformats.org/officeDocument/2006/relationships/hyperlink" Target="javascript:__doPostBack('gvReport$ctl14908$imgbtn','')" TargetMode="External"/><Relationship Id="rId102" Type="http://schemas.openxmlformats.org/officeDocument/2006/relationships/hyperlink" Target="javascript:__doPostBack('gvReport$ctl14931$imgbtn','')" TargetMode="External"/><Relationship Id="rId123" Type="http://schemas.openxmlformats.org/officeDocument/2006/relationships/hyperlink" Target="javascript:__doPostBack('gvReport$ctl29300$imgbtn','')" TargetMode="External"/><Relationship Id="rId128" Type="http://schemas.openxmlformats.org/officeDocument/2006/relationships/hyperlink" Target="javascript:__doPostBack('gvReport$ctl29305$imgbtn','')" TargetMode="External"/><Relationship Id="rId144" Type="http://schemas.openxmlformats.org/officeDocument/2006/relationships/hyperlink" Target="javascript:__doPostBack('gvReport$ctl29321$imgbtn','')" TargetMode="External"/><Relationship Id="rId149" Type="http://schemas.openxmlformats.org/officeDocument/2006/relationships/hyperlink" Target="javascript:__doPostBack('gvReport$ctl29326$imgbtn','')" TargetMode="External"/><Relationship Id="rId5" Type="http://schemas.openxmlformats.org/officeDocument/2006/relationships/hyperlink" Target="javascript:__doPostBack('gvReport$ctl14777$imgbtn','')" TargetMode="External"/><Relationship Id="rId90" Type="http://schemas.openxmlformats.org/officeDocument/2006/relationships/hyperlink" Target="javascript:__doPostBack('gvReport$ctl14919$imgbtn','')" TargetMode="External"/><Relationship Id="rId95" Type="http://schemas.openxmlformats.org/officeDocument/2006/relationships/hyperlink" Target="javascript:__doPostBack('gvReport$ctl14924$imgbtn','')" TargetMode="External"/><Relationship Id="rId22" Type="http://schemas.openxmlformats.org/officeDocument/2006/relationships/hyperlink" Target="javascript:__doPostBack('gvReport$ctl14794$imgbtn','')" TargetMode="External"/><Relationship Id="rId27" Type="http://schemas.openxmlformats.org/officeDocument/2006/relationships/hyperlink" Target="javascript:__doPostBack('gvReport$ctl14799$imgbtn','')" TargetMode="External"/><Relationship Id="rId43" Type="http://schemas.openxmlformats.org/officeDocument/2006/relationships/hyperlink" Target="javascript:__doPostBack('gvReport$ctl14815$imgbtn','')" TargetMode="External"/><Relationship Id="rId48" Type="http://schemas.openxmlformats.org/officeDocument/2006/relationships/hyperlink" Target="javascript:__doPostBack('gvReport$ctl14820$imgbtn','')" TargetMode="External"/><Relationship Id="rId64" Type="http://schemas.openxmlformats.org/officeDocument/2006/relationships/hyperlink" Target="javascript:__doPostBack('gvReport$ctl14893$imgbtn','')" TargetMode="External"/><Relationship Id="rId69" Type="http://schemas.openxmlformats.org/officeDocument/2006/relationships/hyperlink" Target="javascript:__doPostBack('gvReport$ctl14898$imgbtn','')" TargetMode="External"/><Relationship Id="rId113" Type="http://schemas.openxmlformats.org/officeDocument/2006/relationships/hyperlink" Target="javascript:__doPostBack('gvReport$ctl14942$imgbtn','')" TargetMode="External"/><Relationship Id="rId118" Type="http://schemas.openxmlformats.org/officeDocument/2006/relationships/hyperlink" Target="javascript:__doPostBack('gvReport$ctl29295$imgbtn','')" TargetMode="External"/><Relationship Id="rId134" Type="http://schemas.openxmlformats.org/officeDocument/2006/relationships/hyperlink" Target="javascript:__doPostBack('gvReport$ctl29311$imgbtn','')" TargetMode="External"/><Relationship Id="rId139" Type="http://schemas.openxmlformats.org/officeDocument/2006/relationships/hyperlink" Target="javascript:__doPostBack('gvReport$ctl29316$imgbtn','')" TargetMode="External"/><Relationship Id="rId80" Type="http://schemas.openxmlformats.org/officeDocument/2006/relationships/hyperlink" Target="javascript:__doPostBack('gvReport$ctl14909$imgbtn','')" TargetMode="External"/><Relationship Id="rId85" Type="http://schemas.openxmlformats.org/officeDocument/2006/relationships/hyperlink" Target="javascript:__doPostBack('gvReport$ctl14914$imgbtn','')" TargetMode="External"/><Relationship Id="rId150" Type="http://schemas.openxmlformats.org/officeDocument/2006/relationships/hyperlink" Target="javascript:__doPostBack('gvReport$ctl29327$imgbtn','')" TargetMode="External"/><Relationship Id="rId12" Type="http://schemas.openxmlformats.org/officeDocument/2006/relationships/hyperlink" Target="javascript:__doPostBack('gvReport$ctl14784$imgbtn','')" TargetMode="External"/><Relationship Id="rId17" Type="http://schemas.openxmlformats.org/officeDocument/2006/relationships/hyperlink" Target="javascript:__doPostBack('gvReport$ctl14789$imgbtn','')" TargetMode="External"/><Relationship Id="rId25" Type="http://schemas.openxmlformats.org/officeDocument/2006/relationships/hyperlink" Target="javascript:__doPostBack('gvReport$ctl14797$imgbtn','')" TargetMode="External"/><Relationship Id="rId33" Type="http://schemas.openxmlformats.org/officeDocument/2006/relationships/hyperlink" Target="javascript:__doPostBack('gvReport$ctl14805$imgbtn','')" TargetMode="External"/><Relationship Id="rId38" Type="http://schemas.openxmlformats.org/officeDocument/2006/relationships/hyperlink" Target="javascript:__doPostBack('gvReport$ctl14810$imgbtn','')" TargetMode="External"/><Relationship Id="rId46" Type="http://schemas.openxmlformats.org/officeDocument/2006/relationships/hyperlink" Target="javascript:__doPostBack('gvReport$ctl14818$imgbtn','')" TargetMode="External"/><Relationship Id="rId59" Type="http://schemas.openxmlformats.org/officeDocument/2006/relationships/hyperlink" Target="javascript:__doPostBack('gvReport$ctl14888$imgbtn','')" TargetMode="External"/><Relationship Id="rId67" Type="http://schemas.openxmlformats.org/officeDocument/2006/relationships/hyperlink" Target="javascript:__doPostBack('gvReport$ctl14896$imgbtn','')" TargetMode="External"/><Relationship Id="rId103" Type="http://schemas.openxmlformats.org/officeDocument/2006/relationships/hyperlink" Target="javascript:__doPostBack('gvReport$ctl14932$imgbtn','')" TargetMode="External"/><Relationship Id="rId108" Type="http://schemas.openxmlformats.org/officeDocument/2006/relationships/hyperlink" Target="javascript:__doPostBack('gvReport$ctl14937$imgbtn','')" TargetMode="External"/><Relationship Id="rId116" Type="http://schemas.openxmlformats.org/officeDocument/2006/relationships/hyperlink" Target="javascript:__doPostBack('gvReport$ctl29293$imgbtn','')" TargetMode="External"/><Relationship Id="rId124" Type="http://schemas.openxmlformats.org/officeDocument/2006/relationships/hyperlink" Target="javascript:__doPostBack('gvReport$ctl29301$imgbtn','')" TargetMode="External"/><Relationship Id="rId129" Type="http://schemas.openxmlformats.org/officeDocument/2006/relationships/hyperlink" Target="javascript:__doPostBack('gvReport$ctl29306$imgbtn','')" TargetMode="External"/><Relationship Id="rId137" Type="http://schemas.openxmlformats.org/officeDocument/2006/relationships/hyperlink" Target="javascript:__doPostBack('gvReport$ctl29314$imgbtn','')" TargetMode="External"/><Relationship Id="rId20" Type="http://schemas.openxmlformats.org/officeDocument/2006/relationships/hyperlink" Target="javascript:__doPostBack('gvReport$ctl14792$imgbtn','')" TargetMode="External"/><Relationship Id="rId41" Type="http://schemas.openxmlformats.org/officeDocument/2006/relationships/hyperlink" Target="javascript:__doPostBack('gvReport$ctl14813$imgbtn','')" TargetMode="External"/><Relationship Id="rId54" Type="http://schemas.openxmlformats.org/officeDocument/2006/relationships/hyperlink" Target="javascript:__doPostBack('gvReport$ctl14883$imgbtn','')" TargetMode="External"/><Relationship Id="rId62" Type="http://schemas.openxmlformats.org/officeDocument/2006/relationships/hyperlink" Target="javascript:__doPostBack('gvReport$ctl14891$imgbtn','')" TargetMode="External"/><Relationship Id="rId70" Type="http://schemas.openxmlformats.org/officeDocument/2006/relationships/hyperlink" Target="javascript:__doPostBack('gvReport$ctl14899$imgbtn','')" TargetMode="External"/><Relationship Id="rId75" Type="http://schemas.openxmlformats.org/officeDocument/2006/relationships/hyperlink" Target="javascript:__doPostBack('gvReport$ctl14904$imgbtn','')" TargetMode="External"/><Relationship Id="rId83" Type="http://schemas.openxmlformats.org/officeDocument/2006/relationships/hyperlink" Target="javascript:__doPostBack('gvReport$ctl14912$imgbtn','')" TargetMode="External"/><Relationship Id="rId88" Type="http://schemas.openxmlformats.org/officeDocument/2006/relationships/hyperlink" Target="javascript:__doPostBack('gvReport$ctl14917$imgbtn','')" TargetMode="External"/><Relationship Id="rId91" Type="http://schemas.openxmlformats.org/officeDocument/2006/relationships/hyperlink" Target="javascript:__doPostBack('gvReport$ctl14920$imgbtn','')" TargetMode="External"/><Relationship Id="rId96" Type="http://schemas.openxmlformats.org/officeDocument/2006/relationships/hyperlink" Target="javascript:__doPostBack('gvReport$ctl14925$imgbtn','')" TargetMode="External"/><Relationship Id="rId111" Type="http://schemas.openxmlformats.org/officeDocument/2006/relationships/hyperlink" Target="javascript:__doPostBack('gvReport$ctl14940$imgbtn','')" TargetMode="External"/><Relationship Id="rId132" Type="http://schemas.openxmlformats.org/officeDocument/2006/relationships/hyperlink" Target="javascript:__doPostBack('gvReport$ctl29309$imgbtn','')" TargetMode="External"/><Relationship Id="rId140" Type="http://schemas.openxmlformats.org/officeDocument/2006/relationships/hyperlink" Target="javascript:__doPostBack('gvReport$ctl29317$imgbtn','')" TargetMode="External"/><Relationship Id="rId145" Type="http://schemas.openxmlformats.org/officeDocument/2006/relationships/hyperlink" Target="javascript:__doPostBack('gvReport$ctl29322$imgbtn','')" TargetMode="External"/><Relationship Id="rId153" Type="http://schemas.openxmlformats.org/officeDocument/2006/relationships/hyperlink" Target="javascript:__doPostBack('gvReport$ctl29330$imgbtn','')" TargetMode="External"/><Relationship Id="rId1" Type="http://schemas.openxmlformats.org/officeDocument/2006/relationships/hyperlink" Target="javascript:__doPostBack('gvReport$ctl14773$imgbtn','')" TargetMode="External"/><Relationship Id="rId6" Type="http://schemas.openxmlformats.org/officeDocument/2006/relationships/hyperlink" Target="javascript:__doPostBack('gvReport$ctl14778$imgbtn','')" TargetMode="External"/><Relationship Id="rId15" Type="http://schemas.openxmlformats.org/officeDocument/2006/relationships/hyperlink" Target="javascript:__doPostBack('gvReport$ctl14787$imgbtn','')" TargetMode="External"/><Relationship Id="rId23" Type="http://schemas.openxmlformats.org/officeDocument/2006/relationships/hyperlink" Target="javascript:__doPostBack('gvReport$ctl14795$imgbtn','')" TargetMode="External"/><Relationship Id="rId28" Type="http://schemas.openxmlformats.org/officeDocument/2006/relationships/hyperlink" Target="javascript:__doPostBack('gvReport$ctl14800$imgbtn','')" TargetMode="External"/><Relationship Id="rId36" Type="http://schemas.openxmlformats.org/officeDocument/2006/relationships/hyperlink" Target="javascript:__doPostBack('gvReport$ctl14808$imgbtn','')" TargetMode="External"/><Relationship Id="rId49" Type="http://schemas.openxmlformats.org/officeDocument/2006/relationships/hyperlink" Target="javascript:__doPostBack('gvReport$ctl14821$imgbtn','')" TargetMode="External"/><Relationship Id="rId57" Type="http://schemas.openxmlformats.org/officeDocument/2006/relationships/hyperlink" Target="javascript:__doPostBack('gvReport$ctl14886$imgbtn','')" TargetMode="External"/><Relationship Id="rId106" Type="http://schemas.openxmlformats.org/officeDocument/2006/relationships/hyperlink" Target="javascript:__doPostBack('gvReport$ctl14935$imgbtn','')" TargetMode="External"/><Relationship Id="rId114" Type="http://schemas.openxmlformats.org/officeDocument/2006/relationships/hyperlink" Target="javascript:__doPostBack('gvReport$ctl23632$imgbtn','')" TargetMode="External"/><Relationship Id="rId119" Type="http://schemas.openxmlformats.org/officeDocument/2006/relationships/hyperlink" Target="javascript:__doPostBack('gvReport$ctl29296$imgbtn','')" TargetMode="External"/><Relationship Id="rId127" Type="http://schemas.openxmlformats.org/officeDocument/2006/relationships/hyperlink" Target="javascript:__doPostBack('gvReport$ctl29304$imgbtn','')" TargetMode="External"/><Relationship Id="rId10" Type="http://schemas.openxmlformats.org/officeDocument/2006/relationships/hyperlink" Target="javascript:__doPostBack('gvReport$ctl14782$imgbtn','')" TargetMode="External"/><Relationship Id="rId31" Type="http://schemas.openxmlformats.org/officeDocument/2006/relationships/hyperlink" Target="javascript:__doPostBack('gvReport$ctl14803$imgbtn','')" TargetMode="External"/><Relationship Id="rId44" Type="http://schemas.openxmlformats.org/officeDocument/2006/relationships/hyperlink" Target="javascript:__doPostBack('gvReport$ctl14816$imgbtn','')" TargetMode="External"/><Relationship Id="rId52" Type="http://schemas.openxmlformats.org/officeDocument/2006/relationships/hyperlink" Target="javascript:__doPostBack('gvReport$ctl14824$imgbtn','')" TargetMode="External"/><Relationship Id="rId60" Type="http://schemas.openxmlformats.org/officeDocument/2006/relationships/hyperlink" Target="javascript:__doPostBack('gvReport$ctl14889$imgbtn','')" TargetMode="External"/><Relationship Id="rId65" Type="http://schemas.openxmlformats.org/officeDocument/2006/relationships/hyperlink" Target="javascript:__doPostBack('gvReport$ctl14894$imgbtn','')" TargetMode="External"/><Relationship Id="rId73" Type="http://schemas.openxmlformats.org/officeDocument/2006/relationships/hyperlink" Target="javascript:__doPostBack('gvReport$ctl14902$imgbtn','')" TargetMode="External"/><Relationship Id="rId78" Type="http://schemas.openxmlformats.org/officeDocument/2006/relationships/hyperlink" Target="javascript:__doPostBack('gvReport$ctl14907$imgbtn','')" TargetMode="External"/><Relationship Id="rId81" Type="http://schemas.openxmlformats.org/officeDocument/2006/relationships/hyperlink" Target="javascript:__doPostBack('gvReport$ctl14910$imgbtn','')" TargetMode="External"/><Relationship Id="rId86" Type="http://schemas.openxmlformats.org/officeDocument/2006/relationships/hyperlink" Target="javascript:__doPostBack('gvReport$ctl14915$imgbtn','')" TargetMode="External"/><Relationship Id="rId94" Type="http://schemas.openxmlformats.org/officeDocument/2006/relationships/hyperlink" Target="javascript:__doPostBack('gvReport$ctl14923$imgbtn','')" TargetMode="External"/><Relationship Id="rId99" Type="http://schemas.openxmlformats.org/officeDocument/2006/relationships/hyperlink" Target="javascript:__doPostBack('gvReport$ctl14928$imgbtn','')" TargetMode="External"/><Relationship Id="rId101" Type="http://schemas.openxmlformats.org/officeDocument/2006/relationships/hyperlink" Target="javascript:__doPostBack('gvReport$ctl14930$imgbtn','')" TargetMode="External"/><Relationship Id="rId122" Type="http://schemas.openxmlformats.org/officeDocument/2006/relationships/hyperlink" Target="javascript:__doPostBack('gvReport$ctl29299$imgbtn','')" TargetMode="External"/><Relationship Id="rId130" Type="http://schemas.openxmlformats.org/officeDocument/2006/relationships/hyperlink" Target="javascript:__doPostBack('gvReport$ctl29307$imgbtn','')" TargetMode="External"/><Relationship Id="rId135" Type="http://schemas.openxmlformats.org/officeDocument/2006/relationships/hyperlink" Target="javascript:__doPostBack('gvReport$ctl29312$imgbtn','')" TargetMode="External"/><Relationship Id="rId143" Type="http://schemas.openxmlformats.org/officeDocument/2006/relationships/hyperlink" Target="javascript:__doPostBack('gvReport$ctl29320$imgbtn','')" TargetMode="External"/><Relationship Id="rId148" Type="http://schemas.openxmlformats.org/officeDocument/2006/relationships/hyperlink" Target="javascript:__doPostBack('gvReport$ctl29325$imgbtn','')" TargetMode="External"/><Relationship Id="rId151" Type="http://schemas.openxmlformats.org/officeDocument/2006/relationships/hyperlink" Target="javascript:__doPostBack('gvReport$ctl29328$imgbtn','')" TargetMode="External"/><Relationship Id="rId4" Type="http://schemas.openxmlformats.org/officeDocument/2006/relationships/hyperlink" Target="javascript:__doPostBack('gvReport$ctl14776$imgbtn','')" TargetMode="External"/><Relationship Id="rId9" Type="http://schemas.openxmlformats.org/officeDocument/2006/relationships/hyperlink" Target="javascript:__doPostBack('gvReport$ctl14781$imgbtn','')" TargetMode="External"/><Relationship Id="rId13" Type="http://schemas.openxmlformats.org/officeDocument/2006/relationships/hyperlink" Target="javascript:__doPostBack('gvReport$ctl14785$imgbtn','')" TargetMode="External"/><Relationship Id="rId18" Type="http://schemas.openxmlformats.org/officeDocument/2006/relationships/hyperlink" Target="javascript:__doPostBack('gvReport$ctl14790$imgbtn','')" TargetMode="External"/><Relationship Id="rId39" Type="http://schemas.openxmlformats.org/officeDocument/2006/relationships/hyperlink" Target="javascript:__doPostBack('gvReport$ctl14811$imgbtn','')" TargetMode="External"/><Relationship Id="rId109" Type="http://schemas.openxmlformats.org/officeDocument/2006/relationships/hyperlink" Target="javascript:__doPostBack('gvReport$ctl14938$imgbtn','')" TargetMode="External"/><Relationship Id="rId34" Type="http://schemas.openxmlformats.org/officeDocument/2006/relationships/hyperlink" Target="javascript:__doPostBack('gvReport$ctl14806$imgbtn','')" TargetMode="External"/><Relationship Id="rId50" Type="http://schemas.openxmlformats.org/officeDocument/2006/relationships/hyperlink" Target="javascript:__doPostBack('gvReport$ctl14822$imgbtn','')" TargetMode="External"/><Relationship Id="rId55" Type="http://schemas.openxmlformats.org/officeDocument/2006/relationships/hyperlink" Target="javascript:__doPostBack('gvReport$ctl14884$imgbtn','')" TargetMode="External"/><Relationship Id="rId76" Type="http://schemas.openxmlformats.org/officeDocument/2006/relationships/hyperlink" Target="javascript:__doPostBack('gvReport$ctl14905$imgbtn','')" TargetMode="External"/><Relationship Id="rId97" Type="http://schemas.openxmlformats.org/officeDocument/2006/relationships/hyperlink" Target="javascript:__doPostBack('gvReport$ctl14926$imgbtn','')" TargetMode="External"/><Relationship Id="rId104" Type="http://schemas.openxmlformats.org/officeDocument/2006/relationships/hyperlink" Target="javascript:__doPostBack('gvReport$ctl14933$imgbtn','')" TargetMode="External"/><Relationship Id="rId120" Type="http://schemas.openxmlformats.org/officeDocument/2006/relationships/hyperlink" Target="javascript:__doPostBack('gvReport$ctl29297$imgbtn','')" TargetMode="External"/><Relationship Id="rId125" Type="http://schemas.openxmlformats.org/officeDocument/2006/relationships/hyperlink" Target="javascript:__doPostBack('gvReport$ctl29302$imgbtn','')" TargetMode="External"/><Relationship Id="rId141" Type="http://schemas.openxmlformats.org/officeDocument/2006/relationships/hyperlink" Target="javascript:__doPostBack('gvReport$ctl29318$imgbtn','')" TargetMode="External"/><Relationship Id="rId146" Type="http://schemas.openxmlformats.org/officeDocument/2006/relationships/hyperlink" Target="javascript:__doPostBack('gvReport$ctl29323$imgbtn','')" TargetMode="External"/><Relationship Id="rId7" Type="http://schemas.openxmlformats.org/officeDocument/2006/relationships/hyperlink" Target="javascript:__doPostBack('gvReport$ctl14779$imgbtn','')" TargetMode="External"/><Relationship Id="rId71" Type="http://schemas.openxmlformats.org/officeDocument/2006/relationships/hyperlink" Target="javascript:__doPostBack('gvReport$ctl14900$imgbtn','')" TargetMode="External"/><Relationship Id="rId92" Type="http://schemas.openxmlformats.org/officeDocument/2006/relationships/hyperlink" Target="javascript:__doPostBack('gvReport$ctl14921$imgbtn','')" TargetMode="External"/><Relationship Id="rId2" Type="http://schemas.openxmlformats.org/officeDocument/2006/relationships/hyperlink" Target="javascript:__doPostBack('gvReport$ctl14774$imgbtn','')" TargetMode="External"/><Relationship Id="rId29" Type="http://schemas.openxmlformats.org/officeDocument/2006/relationships/hyperlink" Target="javascript:__doPostBack('gvReport$ctl14801$imgbtn','')" TargetMode="External"/><Relationship Id="rId24" Type="http://schemas.openxmlformats.org/officeDocument/2006/relationships/hyperlink" Target="javascript:__doPostBack('gvReport$ctl14796$imgbtn','')" TargetMode="External"/><Relationship Id="rId40" Type="http://schemas.openxmlformats.org/officeDocument/2006/relationships/hyperlink" Target="javascript:__doPostBack('gvReport$ctl14812$imgbtn','')" TargetMode="External"/><Relationship Id="rId45" Type="http://schemas.openxmlformats.org/officeDocument/2006/relationships/hyperlink" Target="javascript:__doPostBack('gvReport$ctl14817$imgbtn','')" TargetMode="External"/><Relationship Id="rId66" Type="http://schemas.openxmlformats.org/officeDocument/2006/relationships/hyperlink" Target="javascript:__doPostBack('gvReport$ctl14895$imgbtn','')" TargetMode="External"/><Relationship Id="rId87" Type="http://schemas.openxmlformats.org/officeDocument/2006/relationships/hyperlink" Target="javascript:__doPostBack('gvReport$ctl14916$imgbtn','')" TargetMode="External"/><Relationship Id="rId110" Type="http://schemas.openxmlformats.org/officeDocument/2006/relationships/hyperlink" Target="javascript:__doPostBack('gvReport$ctl14939$imgbtn','')" TargetMode="External"/><Relationship Id="rId115" Type="http://schemas.openxmlformats.org/officeDocument/2006/relationships/hyperlink" Target="javascript:__doPostBack('gvReport$ctl23633$imgbtn','')" TargetMode="External"/><Relationship Id="rId131" Type="http://schemas.openxmlformats.org/officeDocument/2006/relationships/hyperlink" Target="javascript:__doPostBack('gvReport$ctl29308$imgbtn','')" TargetMode="External"/><Relationship Id="rId136" Type="http://schemas.openxmlformats.org/officeDocument/2006/relationships/hyperlink" Target="javascript:__doPostBack('gvReport$ctl29313$imgbtn','')" TargetMode="External"/><Relationship Id="rId61" Type="http://schemas.openxmlformats.org/officeDocument/2006/relationships/hyperlink" Target="javascript:__doPostBack('gvReport$ctl14890$imgbtn','')" TargetMode="External"/><Relationship Id="rId82" Type="http://schemas.openxmlformats.org/officeDocument/2006/relationships/hyperlink" Target="javascript:__doPostBack('gvReport$ctl14911$imgbtn','')" TargetMode="External"/><Relationship Id="rId152" Type="http://schemas.openxmlformats.org/officeDocument/2006/relationships/hyperlink" Target="javascript:__doPostBack('gvReport$ctl29329$imgbtn','')" TargetMode="External"/><Relationship Id="rId19" Type="http://schemas.openxmlformats.org/officeDocument/2006/relationships/hyperlink" Target="javascript:__doPostBack('gvReport$ctl14791$imgbtn','')" TargetMode="External"/><Relationship Id="rId14" Type="http://schemas.openxmlformats.org/officeDocument/2006/relationships/hyperlink" Target="javascript:__doPostBack('gvReport$ctl14786$imgbtn','')" TargetMode="External"/><Relationship Id="rId30" Type="http://schemas.openxmlformats.org/officeDocument/2006/relationships/hyperlink" Target="javascript:__doPostBack('gvReport$ctl14802$imgbtn','')" TargetMode="External"/><Relationship Id="rId35" Type="http://schemas.openxmlformats.org/officeDocument/2006/relationships/hyperlink" Target="javascript:__doPostBack('gvReport$ctl14807$imgbtn','')" TargetMode="External"/><Relationship Id="rId56" Type="http://schemas.openxmlformats.org/officeDocument/2006/relationships/hyperlink" Target="javascript:__doPostBack('gvReport$ctl14885$imgbtn','')" TargetMode="External"/><Relationship Id="rId77" Type="http://schemas.openxmlformats.org/officeDocument/2006/relationships/hyperlink" Target="javascript:__doPostBack('gvReport$ctl14906$imgbtn','')" TargetMode="External"/><Relationship Id="rId100" Type="http://schemas.openxmlformats.org/officeDocument/2006/relationships/hyperlink" Target="javascript:__doPostBack('gvReport$ctl14929$imgbtn','')" TargetMode="External"/><Relationship Id="rId105" Type="http://schemas.openxmlformats.org/officeDocument/2006/relationships/hyperlink" Target="javascript:__doPostBack('gvReport$ctl14934$imgbtn','')" TargetMode="External"/><Relationship Id="rId126" Type="http://schemas.openxmlformats.org/officeDocument/2006/relationships/hyperlink" Target="javascript:__doPostBack('gvReport$ctl29303$imgbtn','')" TargetMode="External"/><Relationship Id="rId147" Type="http://schemas.openxmlformats.org/officeDocument/2006/relationships/hyperlink" Target="javascript:__doPostBack('gvReport$ctl29324$imgbtn','')" TargetMode="External"/><Relationship Id="rId8" Type="http://schemas.openxmlformats.org/officeDocument/2006/relationships/hyperlink" Target="javascript:__doPostBack('gvReport$ctl14780$imgbtn','')" TargetMode="External"/><Relationship Id="rId51" Type="http://schemas.openxmlformats.org/officeDocument/2006/relationships/hyperlink" Target="javascript:__doPostBack('gvReport$ctl14823$imgbtn','')" TargetMode="External"/><Relationship Id="rId72" Type="http://schemas.openxmlformats.org/officeDocument/2006/relationships/hyperlink" Target="javascript:__doPostBack('gvReport$ctl14901$imgbtn','')" TargetMode="External"/><Relationship Id="rId93" Type="http://schemas.openxmlformats.org/officeDocument/2006/relationships/hyperlink" Target="javascript:__doPostBack('gvReport$ctl14922$imgbtn','')" TargetMode="External"/><Relationship Id="rId98" Type="http://schemas.openxmlformats.org/officeDocument/2006/relationships/hyperlink" Target="javascript:__doPostBack('gvReport$ctl14927$imgbtn','')" TargetMode="External"/><Relationship Id="rId121" Type="http://schemas.openxmlformats.org/officeDocument/2006/relationships/hyperlink" Target="javascript:__doPostBack('gvReport$ctl29298$imgbtn','')" TargetMode="External"/><Relationship Id="rId142" Type="http://schemas.openxmlformats.org/officeDocument/2006/relationships/hyperlink" Target="javascript:__doPostBack('gvReport$ctl29319$imgbtn','')" TargetMode="External"/><Relationship Id="rId3" Type="http://schemas.openxmlformats.org/officeDocument/2006/relationships/hyperlink" Target="javascript:__doPostBack('gvReport$ctl14775$imgbtn','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8"/>
  <sheetViews>
    <sheetView tabSelected="1" topLeftCell="A141" workbookViewId="0">
      <selection activeCell="I157" sqref="I157"/>
    </sheetView>
  </sheetViews>
  <sheetFormatPr defaultRowHeight="13.2"/>
  <cols>
    <col min="3" max="3" width="20.33203125" customWidth="1"/>
    <col min="4" max="4" width="20.88671875" bestFit="1" customWidth="1"/>
    <col min="6" max="6" width="19.6640625" hidden="1" customWidth="1"/>
    <col min="7" max="7" width="0" hidden="1" customWidth="1"/>
    <col min="8" max="8" width="45.5546875" customWidth="1"/>
    <col min="9" max="9" width="14.33203125" customWidth="1"/>
    <col min="10" max="10" width="13.6640625" customWidth="1"/>
    <col min="11" max="11" width="0" hidden="1" customWidth="1"/>
  </cols>
  <sheetData>
    <row r="1" spans="1:12" ht="13.8" thickBot="1"/>
    <row r="2" spans="1:12" ht="15" customHeight="1">
      <c r="A2" s="1" t="s">
        <v>0</v>
      </c>
      <c r="B2" s="2" t="s">
        <v>1</v>
      </c>
      <c r="C2" s="2" t="s">
        <v>234</v>
      </c>
      <c r="D2" s="2" t="s">
        <v>2</v>
      </c>
      <c r="E2" s="2" t="s">
        <v>3</v>
      </c>
      <c r="F2" s="2"/>
      <c r="G2" s="2" t="s">
        <v>4</v>
      </c>
      <c r="H2" s="2" t="s">
        <v>233</v>
      </c>
      <c r="I2" s="3" t="s">
        <v>5</v>
      </c>
      <c r="J2" s="3" t="s">
        <v>6</v>
      </c>
      <c r="K2" s="3" t="s">
        <v>7</v>
      </c>
      <c r="L2" s="4"/>
    </row>
    <row r="3" spans="1:12" ht="15" customHeight="1">
      <c r="A3" s="5">
        <v>5</v>
      </c>
      <c r="B3" s="6">
        <v>44927</v>
      </c>
      <c r="C3" s="7" t="s">
        <v>8</v>
      </c>
      <c r="D3" s="7" t="s">
        <v>9</v>
      </c>
      <c r="E3" s="7"/>
      <c r="F3" s="7" t="s">
        <v>10</v>
      </c>
      <c r="G3" s="7" t="s">
        <v>11</v>
      </c>
      <c r="H3" s="7" t="str">
        <f>CONCATENATE(F3,"-",G3)</f>
        <v>دمج البيانات من نوبل الى نظام يامى -مسلسل-5-اسم الحساب من نوبل-ابن الديرة--رصيد افتتاحى</v>
      </c>
      <c r="I3" s="8">
        <v>13000</v>
      </c>
      <c r="J3" s="9">
        <v>0</v>
      </c>
      <c r="K3" s="9" t="s">
        <v>12</v>
      </c>
      <c r="L3" s="10"/>
    </row>
    <row r="4" spans="1:12" ht="15" customHeight="1">
      <c r="A4" s="5">
        <v>5</v>
      </c>
      <c r="B4" s="6">
        <v>44927</v>
      </c>
      <c r="C4" s="7" t="s">
        <v>13</v>
      </c>
      <c r="D4" s="7" t="s">
        <v>9</v>
      </c>
      <c r="E4" s="7"/>
      <c r="F4" s="7" t="s">
        <v>14</v>
      </c>
      <c r="G4" s="7" t="s">
        <v>11</v>
      </c>
      <c r="H4" s="7" t="str">
        <f t="shared" ref="H4:H67" si="0">CONCATENATE(F4,"-",G4)</f>
        <v>دمج البيانات من نوبل الى نظام يامى -مسلسل-5-اسم الحساب من نوبل-الأثرى للتجارة العامة--رصيد افتتاحى</v>
      </c>
      <c r="I4" s="9">
        <v>0</v>
      </c>
      <c r="J4" s="8">
        <v>3815</v>
      </c>
      <c r="K4" s="9" t="s">
        <v>12</v>
      </c>
      <c r="L4" s="10"/>
    </row>
    <row r="5" spans="1:12" ht="15" customHeight="1">
      <c r="A5" s="5">
        <v>5</v>
      </c>
      <c r="B5" s="6">
        <v>44927</v>
      </c>
      <c r="C5" s="7" t="s">
        <v>15</v>
      </c>
      <c r="D5" s="7" t="s">
        <v>9</v>
      </c>
      <c r="E5" s="7"/>
      <c r="F5" s="7" t="s">
        <v>16</v>
      </c>
      <c r="G5" s="7" t="s">
        <v>11</v>
      </c>
      <c r="H5" s="7" t="str">
        <f t="shared" si="0"/>
        <v>دمج البيانات من نوبل الى نظام يامى -مسلسل-5-اسم الحساب من نوبل-الباب الفضى--رصيد افتتاحى</v>
      </c>
      <c r="I5" s="9">
        <v>0</v>
      </c>
      <c r="J5" s="8">
        <v>43303</v>
      </c>
      <c r="K5" s="9" t="s">
        <v>12</v>
      </c>
      <c r="L5" s="10"/>
    </row>
    <row r="6" spans="1:12" ht="15" customHeight="1">
      <c r="A6" s="5">
        <v>5</v>
      </c>
      <c r="B6" s="6">
        <v>44927</v>
      </c>
      <c r="C6" s="7" t="s">
        <v>17</v>
      </c>
      <c r="D6" s="7" t="s">
        <v>9</v>
      </c>
      <c r="E6" s="7"/>
      <c r="F6" s="7" t="s">
        <v>18</v>
      </c>
      <c r="G6" s="7" t="s">
        <v>11</v>
      </c>
      <c r="H6" s="7" t="str">
        <f t="shared" si="0"/>
        <v>دمج البيانات من نوبل الى نظام يامى -مسلسل-5-اسم الحساب من نوبل-البرج الذهبى لمواد البناء--رصيد افتتاحى</v>
      </c>
      <c r="I6" s="9">
        <v>0</v>
      </c>
      <c r="J6" s="8">
        <v>38853.9</v>
      </c>
      <c r="K6" s="9" t="s">
        <v>12</v>
      </c>
      <c r="L6" s="10"/>
    </row>
    <row r="7" spans="1:12" ht="15" customHeight="1">
      <c r="A7" s="5">
        <v>5</v>
      </c>
      <c r="B7" s="6">
        <v>44927</v>
      </c>
      <c r="C7" s="7" t="s">
        <v>19</v>
      </c>
      <c r="D7" s="7" t="s">
        <v>9</v>
      </c>
      <c r="E7" s="7"/>
      <c r="F7" s="7" t="s">
        <v>20</v>
      </c>
      <c r="G7" s="7" t="s">
        <v>11</v>
      </c>
      <c r="H7" s="7" t="str">
        <f t="shared" si="0"/>
        <v>دمج البيانات من نوبل الى نظام يامى -مسلسل-5-اسم الحساب من نوبل-البرق اللامع--رصيد افتتاحى</v>
      </c>
      <c r="I7" s="8">
        <v>27850</v>
      </c>
      <c r="J7" s="9">
        <v>0</v>
      </c>
      <c r="K7" s="9" t="s">
        <v>12</v>
      </c>
      <c r="L7" s="10"/>
    </row>
    <row r="8" spans="1:12" ht="15" customHeight="1">
      <c r="A8" s="5">
        <v>5</v>
      </c>
      <c r="B8" s="6">
        <v>44927</v>
      </c>
      <c r="C8" s="7" t="s">
        <v>21</v>
      </c>
      <c r="D8" s="7" t="s">
        <v>9</v>
      </c>
      <c r="E8" s="7"/>
      <c r="F8" s="7" t="s">
        <v>22</v>
      </c>
      <c r="G8" s="7" t="s">
        <v>11</v>
      </c>
      <c r="H8" s="7" t="str">
        <f t="shared" si="0"/>
        <v>دمج البيانات من نوبل الى نظام يامى -مسلسل-5-اسم الحساب من نوبل-الجاسر لتجارة عدد وأدوات البناء--رصيد افتتاحى</v>
      </c>
      <c r="I8" s="9">
        <v>0</v>
      </c>
      <c r="J8" s="8">
        <v>14840.7</v>
      </c>
      <c r="K8" s="9" t="s">
        <v>12</v>
      </c>
      <c r="L8" s="10"/>
    </row>
    <row r="9" spans="1:12" ht="15" customHeight="1">
      <c r="A9" s="5">
        <v>5</v>
      </c>
      <c r="B9" s="6">
        <v>44927</v>
      </c>
      <c r="C9" s="7" t="s">
        <v>23</v>
      </c>
      <c r="D9" s="7" t="s">
        <v>9</v>
      </c>
      <c r="E9" s="7"/>
      <c r="F9" s="7" t="s">
        <v>24</v>
      </c>
      <c r="G9" s="7" t="s">
        <v>11</v>
      </c>
      <c r="H9" s="7" t="str">
        <f t="shared" si="0"/>
        <v>دمج البيانات من نوبل الى نظام يامى -مسلسل-5-اسم الحساب من نوبل-الزينة لأعمال الألمونيوم والزجاج--رصيد افتتاحى</v>
      </c>
      <c r="I9" s="9">
        <v>0</v>
      </c>
      <c r="J9" s="8">
        <v>51332.5</v>
      </c>
      <c r="K9" s="9" t="s">
        <v>12</v>
      </c>
      <c r="L9" s="10"/>
    </row>
    <row r="10" spans="1:12" ht="15" customHeight="1">
      <c r="A10" s="5">
        <v>5</v>
      </c>
      <c r="B10" s="6">
        <v>44927</v>
      </c>
      <c r="C10" s="7" t="s">
        <v>25</v>
      </c>
      <c r="D10" s="7" t="s">
        <v>9</v>
      </c>
      <c r="E10" s="7"/>
      <c r="F10" s="7" t="s">
        <v>26</v>
      </c>
      <c r="G10" s="7" t="s">
        <v>11</v>
      </c>
      <c r="H10" s="7" t="str">
        <f t="shared" si="0"/>
        <v>دمج البيانات من نوبل الى نظام يامى -مسلسل-5-اسم الحساب من نوبل-هكسي الرخام والجرانيت--رصيد افتتاحى</v>
      </c>
      <c r="I10" s="9">
        <v>0</v>
      </c>
      <c r="J10" s="8">
        <v>93330.15</v>
      </c>
      <c r="K10" s="9" t="s">
        <v>12</v>
      </c>
      <c r="L10" s="10"/>
    </row>
    <row r="11" spans="1:12" ht="15" customHeight="1">
      <c r="A11" s="5">
        <v>5</v>
      </c>
      <c r="B11" s="6">
        <v>44927</v>
      </c>
      <c r="C11" s="7" t="s">
        <v>27</v>
      </c>
      <c r="D11" s="7" t="s">
        <v>9</v>
      </c>
      <c r="E11" s="7"/>
      <c r="F11" s="7" t="s">
        <v>28</v>
      </c>
      <c r="G11" s="7" t="s">
        <v>11</v>
      </c>
      <c r="H11" s="7" t="str">
        <f t="shared" si="0"/>
        <v>دمج البيانات من نوبل الى نظام يامى -مسلسل-5-اسم الحساب من نوبل-المنال لأعمال الألمونيوم--رصيد افتتاحى</v>
      </c>
      <c r="I11" s="8">
        <v>36782.15</v>
      </c>
      <c r="J11" s="9">
        <v>0</v>
      </c>
      <c r="K11" s="9" t="s">
        <v>12</v>
      </c>
      <c r="L11" s="10"/>
    </row>
    <row r="12" spans="1:12" ht="15" customHeight="1">
      <c r="A12" s="5">
        <v>5</v>
      </c>
      <c r="B12" s="6">
        <v>44927</v>
      </c>
      <c r="C12" s="7" t="s">
        <v>29</v>
      </c>
      <c r="D12" s="7" t="s">
        <v>9</v>
      </c>
      <c r="E12" s="7"/>
      <c r="F12" s="7" t="s">
        <v>30</v>
      </c>
      <c r="G12" s="7" t="s">
        <v>11</v>
      </c>
      <c r="H12" s="7" t="str">
        <f t="shared" si="0"/>
        <v>دمج البيانات من نوبل الى نظام يامى -مسلسل-5-اسم الحساب من نوبل-الوطنية للتعهدات والصناعة--رصيد افتتاحى</v>
      </c>
      <c r="I12" s="9">
        <v>0</v>
      </c>
      <c r="J12" s="8">
        <v>148366.39999999999</v>
      </c>
      <c r="K12" s="9" t="s">
        <v>12</v>
      </c>
      <c r="L12" s="10"/>
    </row>
    <row r="13" spans="1:12" ht="15" customHeight="1">
      <c r="A13" s="5">
        <v>5</v>
      </c>
      <c r="B13" s="6">
        <v>44927</v>
      </c>
      <c r="C13" s="7" t="s">
        <v>31</v>
      </c>
      <c r="D13" s="7" t="s">
        <v>9</v>
      </c>
      <c r="E13" s="7"/>
      <c r="F13" s="7" t="s">
        <v>32</v>
      </c>
      <c r="G13" s="7" t="s">
        <v>11</v>
      </c>
      <c r="H13" s="7" t="str">
        <f t="shared" si="0"/>
        <v>دمج البيانات من نوبل الى نظام يامى -مسلسل-5-اسم الحساب من نوبل-او اس لاعمال الألومنيوم والزجاج--رصيد افتتاحى</v>
      </c>
      <c r="I13" s="9">
        <v>0</v>
      </c>
      <c r="J13" s="8">
        <v>46637</v>
      </c>
      <c r="K13" s="9" t="s">
        <v>12</v>
      </c>
      <c r="L13" s="10"/>
    </row>
    <row r="14" spans="1:12" ht="15" customHeight="1">
      <c r="A14" s="5">
        <v>5</v>
      </c>
      <c r="B14" s="6">
        <v>44927</v>
      </c>
      <c r="C14" s="7" t="s">
        <v>33</v>
      </c>
      <c r="D14" s="7" t="s">
        <v>9</v>
      </c>
      <c r="E14" s="7"/>
      <c r="F14" s="7" t="s">
        <v>34</v>
      </c>
      <c r="G14" s="7" t="s">
        <v>11</v>
      </c>
      <c r="H14" s="7" t="str">
        <f t="shared" si="0"/>
        <v>دمج البيانات من نوبل الى نظام يامى -مسلسل-5-اسم الحساب من نوبل-باشا خان للرمل--رصيد افتتاحى</v>
      </c>
      <c r="I14" s="9">
        <v>0</v>
      </c>
      <c r="J14" s="8">
        <v>214070</v>
      </c>
      <c r="K14" s="9" t="s">
        <v>12</v>
      </c>
      <c r="L14" s="10"/>
    </row>
    <row r="15" spans="1:12" ht="15" customHeight="1">
      <c r="A15" s="5">
        <v>5</v>
      </c>
      <c r="B15" s="6">
        <v>44927</v>
      </c>
      <c r="C15" s="7" t="s">
        <v>35</v>
      </c>
      <c r="D15" s="7" t="s">
        <v>9</v>
      </c>
      <c r="E15" s="7"/>
      <c r="F15" s="7" t="s">
        <v>36</v>
      </c>
      <c r="G15" s="7" t="s">
        <v>11</v>
      </c>
      <c r="H15" s="7" t="str">
        <f t="shared" si="0"/>
        <v>دمج البيانات من نوبل الى نظام يامى -مسلسل-5-اسم الحساب من نوبل-باور سكل--رصيد افتتاحى</v>
      </c>
      <c r="I15" s="9">
        <v>0</v>
      </c>
      <c r="J15" s="8">
        <v>2974.5</v>
      </c>
      <c r="K15" s="9" t="s">
        <v>12</v>
      </c>
      <c r="L15" s="10"/>
    </row>
    <row r="16" spans="1:12" ht="15" customHeight="1">
      <c r="A16" s="5">
        <v>5</v>
      </c>
      <c r="B16" s="6">
        <v>44927</v>
      </c>
      <c r="C16" s="7" t="s">
        <v>37</v>
      </c>
      <c r="D16" s="7" t="s">
        <v>9</v>
      </c>
      <c r="E16" s="7"/>
      <c r="F16" s="7" t="s">
        <v>38</v>
      </c>
      <c r="G16" s="7" t="s">
        <v>11</v>
      </c>
      <c r="H16" s="7" t="str">
        <f t="shared" si="0"/>
        <v>دمج البيانات من نوبل الى نظام يامى -مسلسل-5-اسم الحساب من نوبل-بيتكا لمواد التكييف والعزل--رصيد افتتاحى</v>
      </c>
      <c r="I16" s="8">
        <v>2187</v>
      </c>
      <c r="J16" s="9">
        <v>0</v>
      </c>
      <c r="K16" s="9" t="s">
        <v>12</v>
      </c>
      <c r="L16" s="10"/>
    </row>
    <row r="17" spans="1:12" ht="15" customHeight="1">
      <c r="A17" s="5">
        <v>5</v>
      </c>
      <c r="B17" s="6">
        <v>44927</v>
      </c>
      <c r="C17" s="7" t="s">
        <v>39</v>
      </c>
      <c r="D17" s="7" t="s">
        <v>9</v>
      </c>
      <c r="E17" s="7"/>
      <c r="F17" s="7" t="s">
        <v>40</v>
      </c>
      <c r="G17" s="7" t="s">
        <v>11</v>
      </c>
      <c r="H17" s="7" t="str">
        <f t="shared" si="0"/>
        <v>دمج البيانات من نوبل الى نظام يامى -مسلسل-5-اسم الحساب من نوبل-تايلس اند بات لمواد البناء--رصيد افتتاحى</v>
      </c>
      <c r="I17" s="9">
        <v>0</v>
      </c>
      <c r="J17" s="8">
        <v>76277.600000000006</v>
      </c>
      <c r="K17" s="9" t="s">
        <v>12</v>
      </c>
      <c r="L17" s="10"/>
    </row>
    <row r="18" spans="1:12" ht="15" customHeight="1">
      <c r="A18" s="5">
        <v>5</v>
      </c>
      <c r="B18" s="6">
        <v>44927</v>
      </c>
      <c r="C18" s="7" t="s">
        <v>41</v>
      </c>
      <c r="D18" s="7" t="s">
        <v>9</v>
      </c>
      <c r="E18" s="7"/>
      <c r="F18" s="7" t="s">
        <v>42</v>
      </c>
      <c r="G18" s="7" t="s">
        <v>11</v>
      </c>
      <c r="H18" s="7" t="str">
        <f t="shared" si="0"/>
        <v>دمج البيانات من نوبل الى نظام يامى -مسلسل-5-اسم الحساب من نوبل-تكييف لتجارة التكييف--رصيد افتتاحى</v>
      </c>
      <c r="I18" s="9">
        <v>0</v>
      </c>
      <c r="J18" s="9">
        <v>577.54999999999995</v>
      </c>
      <c r="K18" s="9" t="s">
        <v>12</v>
      </c>
      <c r="L18" s="10"/>
    </row>
    <row r="19" spans="1:12" ht="15" customHeight="1">
      <c r="A19" s="5">
        <v>5</v>
      </c>
      <c r="B19" s="6">
        <v>44927</v>
      </c>
      <c r="C19" s="7" t="s">
        <v>43</v>
      </c>
      <c r="D19" s="7" t="s">
        <v>9</v>
      </c>
      <c r="E19" s="7"/>
      <c r="F19" s="7" t="s">
        <v>44</v>
      </c>
      <c r="G19" s="7" t="s">
        <v>11</v>
      </c>
      <c r="H19" s="7" t="str">
        <f t="shared" si="0"/>
        <v>دمج البيانات من نوبل الى نظام يامى -مسلسل-5-اسم الحساب من نوبل-جرين ارت للاستشارات الهندسية--رصيد افتتاحى</v>
      </c>
      <c r="I19" s="8">
        <v>20000</v>
      </c>
      <c r="J19" s="9">
        <v>0</v>
      </c>
      <c r="K19" s="9" t="s">
        <v>12</v>
      </c>
      <c r="L19" s="10"/>
    </row>
    <row r="20" spans="1:12" ht="15" customHeight="1">
      <c r="A20" s="5">
        <v>5</v>
      </c>
      <c r="B20" s="6">
        <v>44927</v>
      </c>
      <c r="C20" s="7" t="s">
        <v>45</v>
      </c>
      <c r="D20" s="7" t="s">
        <v>9</v>
      </c>
      <c r="E20" s="7"/>
      <c r="F20" s="7" t="s">
        <v>46</v>
      </c>
      <c r="G20" s="7" t="s">
        <v>11</v>
      </c>
      <c r="H20" s="7" t="str">
        <f t="shared" si="0"/>
        <v>دمج البيانات من نوبل الى نظام يامى -مسلسل-5-اسم الحساب من نوبل-رايسينج روف--رصيد افتتاحى</v>
      </c>
      <c r="I20" s="8">
        <v>2171</v>
      </c>
      <c r="J20" s="9">
        <v>0</v>
      </c>
      <c r="K20" s="9" t="s">
        <v>12</v>
      </c>
      <c r="L20" s="10"/>
    </row>
    <row r="21" spans="1:12" ht="15" customHeight="1">
      <c r="A21" s="5">
        <v>5</v>
      </c>
      <c r="B21" s="6">
        <v>44927</v>
      </c>
      <c r="C21" s="7" t="s">
        <v>47</v>
      </c>
      <c r="D21" s="7" t="s">
        <v>9</v>
      </c>
      <c r="E21" s="7"/>
      <c r="F21" s="7" t="s">
        <v>48</v>
      </c>
      <c r="G21" s="7" t="s">
        <v>11</v>
      </c>
      <c r="H21" s="7" t="str">
        <f t="shared" si="0"/>
        <v>دمج البيانات من نوبل الى نظام يامى -مسلسل-5-اسم الحساب من نوبل-رمز التحدى للمقاولات العامة--رصيد افتتاحى</v>
      </c>
      <c r="I21" s="8">
        <v>4837.5</v>
      </c>
      <c r="J21" s="9">
        <v>0</v>
      </c>
      <c r="K21" s="9" t="s">
        <v>12</v>
      </c>
      <c r="L21" s="10"/>
    </row>
    <row r="22" spans="1:12" ht="15" customHeight="1">
      <c r="A22" s="5">
        <v>5</v>
      </c>
      <c r="B22" s="6">
        <v>44927</v>
      </c>
      <c r="C22" s="7" t="s">
        <v>49</v>
      </c>
      <c r="D22" s="7" t="s">
        <v>9</v>
      </c>
      <c r="E22" s="7"/>
      <c r="F22" s="7" t="s">
        <v>50</v>
      </c>
      <c r="G22" s="7" t="s">
        <v>11</v>
      </c>
      <c r="H22" s="7" t="str">
        <f t="shared" si="0"/>
        <v>دمج البيانات من نوبل الى نظام يامى -مسلسل-5-اسم الحساب من نوبل-سبيشياليست للابواب والنوافذ--رصيد افتتاحى</v>
      </c>
      <c r="I22" s="8">
        <v>50000</v>
      </c>
      <c r="J22" s="9">
        <v>0</v>
      </c>
      <c r="K22" s="9" t="s">
        <v>12</v>
      </c>
      <c r="L22" s="10"/>
    </row>
    <row r="23" spans="1:12" ht="15" customHeight="1">
      <c r="A23" s="5">
        <v>5</v>
      </c>
      <c r="B23" s="6">
        <v>44927</v>
      </c>
      <c r="C23" s="7" t="s">
        <v>51</v>
      </c>
      <c r="D23" s="7" t="s">
        <v>9</v>
      </c>
      <c r="E23" s="7"/>
      <c r="F23" s="7" t="s">
        <v>52</v>
      </c>
      <c r="G23" s="7" t="s">
        <v>11</v>
      </c>
      <c r="H23" s="7" t="str">
        <f t="shared" si="0"/>
        <v>دمج البيانات من نوبل الى نظام يامى -مسلسل-5-اسم الحساب من نوبل-سوبر اكسبرس--رصيد افتتاحى</v>
      </c>
      <c r="I23" s="9">
        <v>0</v>
      </c>
      <c r="J23" s="8">
        <v>2688.25</v>
      </c>
      <c r="K23" s="9" t="s">
        <v>12</v>
      </c>
      <c r="L23" s="10"/>
    </row>
    <row r="24" spans="1:12" ht="15" customHeight="1">
      <c r="A24" s="5">
        <v>5</v>
      </c>
      <c r="B24" s="6">
        <v>44927</v>
      </c>
      <c r="C24" s="7" t="s">
        <v>53</v>
      </c>
      <c r="D24" s="7" t="s">
        <v>9</v>
      </c>
      <c r="E24" s="7"/>
      <c r="F24" s="7" t="s">
        <v>54</v>
      </c>
      <c r="G24" s="7" t="s">
        <v>11</v>
      </c>
      <c r="H24" s="7" t="str">
        <f t="shared" si="0"/>
        <v>دمج البيانات من نوبل الى نظام يامى -مسلسل-5-اسم الحساب من نوبل-سويتش للميكانيك والكهرباء--رصيد افتتاحى</v>
      </c>
      <c r="I24" s="9">
        <v>0</v>
      </c>
      <c r="J24" s="8">
        <v>15461.25</v>
      </c>
      <c r="K24" s="9" t="s">
        <v>12</v>
      </c>
      <c r="L24" s="10"/>
    </row>
    <row r="25" spans="1:12" ht="15" customHeight="1">
      <c r="A25" s="5">
        <v>5</v>
      </c>
      <c r="B25" s="6">
        <v>44927</v>
      </c>
      <c r="C25" s="7" t="s">
        <v>55</v>
      </c>
      <c r="D25" s="7" t="s">
        <v>9</v>
      </c>
      <c r="E25" s="7"/>
      <c r="F25" s="7" t="s">
        <v>56</v>
      </c>
      <c r="G25" s="7" t="s">
        <v>11</v>
      </c>
      <c r="H25" s="7" t="str">
        <f t="shared" si="0"/>
        <v>دمج البيانات من نوبل الى نظام يامى -مسلسل-5-اسم الحساب من نوبل-سيلين للتجارة العامة--رصيد افتتاحى</v>
      </c>
      <c r="I25" s="8">
        <v>15000</v>
      </c>
      <c r="J25" s="9">
        <v>0</v>
      </c>
      <c r="K25" s="9" t="s">
        <v>12</v>
      </c>
      <c r="L25" s="10"/>
    </row>
    <row r="26" spans="1:12" ht="15" customHeight="1">
      <c r="A26" s="5">
        <v>5</v>
      </c>
      <c r="B26" s="6">
        <v>44927</v>
      </c>
      <c r="C26" s="7" t="s">
        <v>57</v>
      </c>
      <c r="D26" s="7" t="s">
        <v>9</v>
      </c>
      <c r="E26" s="7"/>
      <c r="F26" s="7" t="s">
        <v>58</v>
      </c>
      <c r="G26" s="7" t="s">
        <v>11</v>
      </c>
      <c r="H26" s="7" t="str">
        <f t="shared" si="0"/>
        <v>دمج البيانات من نوبل الى نظام يامى -مسلسل-5-اسم الحساب من نوبل-الترا فورس للخرسانة--رصيد افتتاحى</v>
      </c>
      <c r="I26" s="8">
        <v>25000</v>
      </c>
      <c r="J26" s="9">
        <v>0</v>
      </c>
      <c r="K26" s="9" t="s">
        <v>12</v>
      </c>
      <c r="L26" s="10"/>
    </row>
    <row r="27" spans="1:12" ht="15" customHeight="1">
      <c r="A27" s="5">
        <v>5</v>
      </c>
      <c r="B27" s="6">
        <v>44927</v>
      </c>
      <c r="C27" s="7" t="s">
        <v>59</v>
      </c>
      <c r="D27" s="7" t="s">
        <v>9</v>
      </c>
      <c r="E27" s="7"/>
      <c r="F27" s="7" t="s">
        <v>60</v>
      </c>
      <c r="G27" s="7" t="s">
        <v>11</v>
      </c>
      <c r="H27" s="7" t="str">
        <f t="shared" si="0"/>
        <v>دمج البيانات من نوبل الى نظام يامى -مسلسل-5-اسم الحساب من نوبل-شكاى للنقليات--رصيد افتتاحى</v>
      </c>
      <c r="I27" s="9">
        <v>0</v>
      </c>
      <c r="J27" s="8">
        <v>69539</v>
      </c>
      <c r="K27" s="9" t="s">
        <v>12</v>
      </c>
      <c r="L27" s="10"/>
    </row>
    <row r="28" spans="1:12" ht="15" customHeight="1">
      <c r="A28" s="5">
        <v>5</v>
      </c>
      <c r="B28" s="6">
        <v>44927</v>
      </c>
      <c r="C28" s="7" t="s">
        <v>61</v>
      </c>
      <c r="D28" s="7" t="s">
        <v>9</v>
      </c>
      <c r="E28" s="7"/>
      <c r="F28" s="7" t="s">
        <v>62</v>
      </c>
      <c r="G28" s="7" t="s">
        <v>11</v>
      </c>
      <c r="H28" s="7" t="str">
        <f t="shared" si="0"/>
        <v>دمج البيانات من نوبل الى نظام يامى -مسلسل-5-اسم الحساب من نوبل-فقير خان للمياه--رصيد افتتاحى</v>
      </c>
      <c r="I28" s="9">
        <v>0</v>
      </c>
      <c r="J28" s="8">
        <v>9200</v>
      </c>
      <c r="K28" s="9" t="s">
        <v>12</v>
      </c>
      <c r="L28" s="10"/>
    </row>
    <row r="29" spans="1:12" ht="15" customHeight="1">
      <c r="A29" s="5">
        <v>5</v>
      </c>
      <c r="B29" s="6">
        <v>44927</v>
      </c>
      <c r="C29" s="7" t="s">
        <v>63</v>
      </c>
      <c r="D29" s="7" t="s">
        <v>9</v>
      </c>
      <c r="E29" s="7"/>
      <c r="F29" s="7" t="s">
        <v>64</v>
      </c>
      <c r="G29" s="7" t="s">
        <v>11</v>
      </c>
      <c r="H29" s="7" t="str">
        <f t="shared" si="0"/>
        <v>دمج البيانات من نوبل الى نظام يامى -مسلسل-5-اسم الحساب من نوبل-كاسل جيتس--رصيد افتتاحى</v>
      </c>
      <c r="I29" s="8">
        <v>17000</v>
      </c>
      <c r="J29" s="9">
        <v>0</v>
      </c>
      <c r="K29" s="9" t="s">
        <v>12</v>
      </c>
      <c r="L29" s="10"/>
    </row>
    <row r="30" spans="1:12" ht="15" customHeight="1">
      <c r="A30" s="5">
        <v>5</v>
      </c>
      <c r="B30" s="6">
        <v>44927</v>
      </c>
      <c r="C30" s="7" t="s">
        <v>65</v>
      </c>
      <c r="D30" s="7" t="s">
        <v>9</v>
      </c>
      <c r="E30" s="7"/>
      <c r="F30" s="7" t="s">
        <v>66</v>
      </c>
      <c r="G30" s="7" t="s">
        <v>11</v>
      </c>
      <c r="H30" s="7" t="str">
        <f t="shared" si="0"/>
        <v>دمج البيانات من نوبل الى نظام يامى -مسلسل-5-اسم الحساب من نوبل-كالاكتا للديكور وتركيب الحجر--رصيد افتتاحى</v>
      </c>
      <c r="I30" s="8">
        <v>50000</v>
      </c>
      <c r="J30" s="9">
        <v>0</v>
      </c>
      <c r="K30" s="9" t="s">
        <v>12</v>
      </c>
      <c r="L30" s="10"/>
    </row>
    <row r="31" spans="1:12" ht="15" customHeight="1">
      <c r="A31" s="5">
        <v>5</v>
      </c>
      <c r="B31" s="6">
        <v>44927</v>
      </c>
      <c r="C31" s="7" t="s">
        <v>67</v>
      </c>
      <c r="D31" s="7" t="s">
        <v>9</v>
      </c>
      <c r="E31" s="7"/>
      <c r="F31" s="7" t="s">
        <v>68</v>
      </c>
      <c r="G31" s="7" t="s">
        <v>11</v>
      </c>
      <c r="H31" s="7" t="str">
        <f t="shared" si="0"/>
        <v>دمج البيانات من نوبل الى نظام يامى -مسلسل-5-اسم الحساب من نوبل-كوهار للنقليات-تيمور--رصيد افتتاحى</v>
      </c>
      <c r="I31" s="9">
        <v>0</v>
      </c>
      <c r="J31" s="8">
        <v>15310</v>
      </c>
      <c r="K31" s="9" t="s">
        <v>12</v>
      </c>
      <c r="L31" s="10"/>
    </row>
    <row r="32" spans="1:12" ht="15" customHeight="1">
      <c r="A32" s="5">
        <v>5</v>
      </c>
      <c r="B32" s="6">
        <v>44927</v>
      </c>
      <c r="C32" s="7" t="s">
        <v>69</v>
      </c>
      <c r="D32" s="7" t="s">
        <v>9</v>
      </c>
      <c r="E32" s="7"/>
      <c r="F32" s="7" t="s">
        <v>70</v>
      </c>
      <c r="G32" s="7" t="s">
        <v>11</v>
      </c>
      <c r="H32" s="7" t="str">
        <f t="shared" si="0"/>
        <v>دمج البيانات من نوبل الى نظام يامى -مسلسل-5-اسم الحساب من نوبل-كوهار للنقليات-عاصف--رصيد افتتاحى</v>
      </c>
      <c r="I32" s="9">
        <v>0</v>
      </c>
      <c r="J32" s="8">
        <v>36814.25</v>
      </c>
      <c r="K32" s="9" t="s">
        <v>12</v>
      </c>
      <c r="L32" s="10"/>
    </row>
    <row r="33" spans="1:12" ht="15" customHeight="1">
      <c r="A33" s="5">
        <v>5</v>
      </c>
      <c r="B33" s="6">
        <v>44927</v>
      </c>
      <c r="C33" s="7" t="s">
        <v>71</v>
      </c>
      <c r="D33" s="7" t="s">
        <v>9</v>
      </c>
      <c r="E33" s="7"/>
      <c r="F33" s="7" t="s">
        <v>72</v>
      </c>
      <c r="G33" s="7" t="s">
        <v>11</v>
      </c>
      <c r="H33" s="7" t="str">
        <f t="shared" si="0"/>
        <v>دمج البيانات من نوبل الى نظام يامى -مسلسل-5-اسم الحساب من نوبل-لمار لتجارة السيراميك--رصيد افتتاحى</v>
      </c>
      <c r="I33" s="9">
        <v>0</v>
      </c>
      <c r="J33" s="8">
        <v>1732</v>
      </c>
      <c r="K33" s="9" t="s">
        <v>12</v>
      </c>
      <c r="L33" s="10"/>
    </row>
    <row r="34" spans="1:12" ht="15" customHeight="1">
      <c r="A34" s="5">
        <v>5</v>
      </c>
      <c r="B34" s="6">
        <v>44927</v>
      </c>
      <c r="C34" s="7" t="s">
        <v>73</v>
      </c>
      <c r="D34" s="7" t="s">
        <v>9</v>
      </c>
      <c r="E34" s="7"/>
      <c r="F34" s="7" t="s">
        <v>74</v>
      </c>
      <c r="G34" s="7" t="s">
        <v>11</v>
      </c>
      <c r="H34" s="7" t="str">
        <f t="shared" si="0"/>
        <v>دمج البيانات من نوبل الى نظام يامى -مسلسل-5-اسم الحساب من نوبل-ليمنار للتكييف--رصيد افتتاحى</v>
      </c>
      <c r="I34" s="8">
        <v>22000</v>
      </c>
      <c r="J34" s="9">
        <v>0</v>
      </c>
      <c r="K34" s="9" t="s">
        <v>12</v>
      </c>
      <c r="L34" s="10"/>
    </row>
    <row r="35" spans="1:12" ht="15" customHeight="1">
      <c r="A35" s="5">
        <v>5</v>
      </c>
      <c r="B35" s="6">
        <v>44927</v>
      </c>
      <c r="C35" s="7" t="s">
        <v>75</v>
      </c>
      <c r="D35" s="7" t="s">
        <v>9</v>
      </c>
      <c r="E35" s="7"/>
      <c r="F35" s="7" t="s">
        <v>76</v>
      </c>
      <c r="G35" s="7" t="s">
        <v>11</v>
      </c>
      <c r="H35" s="7" t="str">
        <f t="shared" si="0"/>
        <v>دمج البيانات من نوبل الى نظام يامى -مسلسل-5-اسم الحساب من نوبل-مترو جلاس--رصيد افتتاحى</v>
      </c>
      <c r="I35" s="8">
        <v>25000</v>
      </c>
      <c r="J35" s="9">
        <v>0</v>
      </c>
      <c r="K35" s="9" t="s">
        <v>12</v>
      </c>
      <c r="L35" s="10"/>
    </row>
    <row r="36" spans="1:12" ht="15" customHeight="1">
      <c r="A36" s="5">
        <v>5</v>
      </c>
      <c r="B36" s="6">
        <v>44927</v>
      </c>
      <c r="C36" s="7" t="s">
        <v>77</v>
      </c>
      <c r="D36" s="7" t="s">
        <v>9</v>
      </c>
      <c r="E36" s="7"/>
      <c r="F36" s="7" t="s">
        <v>78</v>
      </c>
      <c r="G36" s="7" t="s">
        <v>11</v>
      </c>
      <c r="H36" s="7" t="str">
        <f t="shared" si="0"/>
        <v>دمج البيانات من نوبل الى نظام يامى -مسلسل-5-اسم الحساب من نوبل-محل التمنى--رصيد افتتاحى</v>
      </c>
      <c r="I36" s="9">
        <v>0</v>
      </c>
      <c r="J36" s="8">
        <v>12400</v>
      </c>
      <c r="K36" s="9" t="s">
        <v>12</v>
      </c>
      <c r="L36" s="10"/>
    </row>
    <row r="37" spans="1:12" ht="15" customHeight="1">
      <c r="A37" s="5">
        <v>5</v>
      </c>
      <c r="B37" s="6">
        <v>44927</v>
      </c>
      <c r="C37" s="7" t="s">
        <v>79</v>
      </c>
      <c r="D37" s="7" t="s">
        <v>9</v>
      </c>
      <c r="E37" s="7"/>
      <c r="F37" s="7" t="s">
        <v>80</v>
      </c>
      <c r="G37" s="7" t="s">
        <v>11</v>
      </c>
      <c r="H37" s="7" t="str">
        <f t="shared" si="0"/>
        <v>دمج البيانات من نوبل الى نظام يامى -مسلسل-5-اسم الحساب من نوبل-مختبر بازلت--رصيد افتتاحى</v>
      </c>
      <c r="I37" s="8">
        <v>2256</v>
      </c>
      <c r="J37" s="9">
        <v>0</v>
      </c>
      <c r="K37" s="9" t="s">
        <v>12</v>
      </c>
      <c r="L37" s="10"/>
    </row>
    <row r="38" spans="1:12" ht="15" customHeight="1">
      <c r="A38" s="5">
        <v>5</v>
      </c>
      <c r="B38" s="6">
        <v>44927</v>
      </c>
      <c r="C38" s="7" t="s">
        <v>81</v>
      </c>
      <c r="D38" s="7" t="s">
        <v>9</v>
      </c>
      <c r="E38" s="7"/>
      <c r="F38" s="7" t="s">
        <v>82</v>
      </c>
      <c r="G38" s="7" t="s">
        <v>11</v>
      </c>
      <c r="H38" s="7" t="str">
        <f t="shared" si="0"/>
        <v>دمج البيانات من نوبل الى نظام يامى -مسلسل-5-اسم الحساب من نوبل-مصنع البيت الشرقى--رصيد افتتاحى</v>
      </c>
      <c r="I38" s="9">
        <v>0</v>
      </c>
      <c r="J38" s="8">
        <v>4372.25</v>
      </c>
      <c r="K38" s="9" t="s">
        <v>12</v>
      </c>
      <c r="L38" s="10"/>
    </row>
    <row r="39" spans="1:12" ht="15" customHeight="1">
      <c r="A39" s="5">
        <v>5</v>
      </c>
      <c r="B39" s="6">
        <v>44927</v>
      </c>
      <c r="C39" s="7" t="s">
        <v>83</v>
      </c>
      <c r="D39" s="7" t="s">
        <v>9</v>
      </c>
      <c r="E39" s="7"/>
      <c r="F39" s="7" t="s">
        <v>84</v>
      </c>
      <c r="G39" s="7" t="s">
        <v>11</v>
      </c>
      <c r="H39" s="7" t="str">
        <f t="shared" si="0"/>
        <v>دمج البيانات من نوبل الى نظام يامى -مسلسل-5-اسم الحساب من نوبل-منجرة الخيالى--رصيد افتتاحى</v>
      </c>
      <c r="I39" s="8">
        <v>46220</v>
      </c>
      <c r="J39" s="9">
        <v>0</v>
      </c>
      <c r="K39" s="9" t="s">
        <v>12</v>
      </c>
      <c r="L39" s="10"/>
    </row>
    <row r="40" spans="1:12" ht="15" customHeight="1">
      <c r="A40" s="5">
        <v>5</v>
      </c>
      <c r="B40" s="6">
        <v>44927</v>
      </c>
      <c r="C40" s="7" t="s">
        <v>85</v>
      </c>
      <c r="D40" s="7" t="s">
        <v>9</v>
      </c>
      <c r="E40" s="7"/>
      <c r="F40" s="7" t="s">
        <v>86</v>
      </c>
      <c r="G40" s="7" t="s">
        <v>11</v>
      </c>
      <c r="H40" s="7" t="str">
        <f t="shared" si="0"/>
        <v>دمج البيانات من نوبل الى نظام يامى -مسلسل-5-اسم الحساب من نوبل-منجرة زلفى اخوان--رصيد افتتاحى</v>
      </c>
      <c r="I40" s="9">
        <v>0</v>
      </c>
      <c r="J40" s="8">
        <v>39820.9</v>
      </c>
      <c r="K40" s="9" t="s">
        <v>12</v>
      </c>
      <c r="L40" s="10"/>
    </row>
    <row r="41" spans="1:12" ht="15" customHeight="1">
      <c r="A41" s="5">
        <v>5</v>
      </c>
      <c r="B41" s="6">
        <v>44927</v>
      </c>
      <c r="C41" s="7" t="s">
        <v>87</v>
      </c>
      <c r="D41" s="7" t="s">
        <v>9</v>
      </c>
      <c r="E41" s="7"/>
      <c r="F41" s="7" t="s">
        <v>88</v>
      </c>
      <c r="G41" s="7" t="s">
        <v>11</v>
      </c>
      <c r="H41" s="7" t="str">
        <f t="shared" si="0"/>
        <v>دمج البيانات من نوبل الى نظام يامى -مسلسل-5-اسم الحساب من نوبل-مؤسسة أبراج العين للنقليات--رصيد افتتاحى</v>
      </c>
      <c r="I41" s="9">
        <v>0</v>
      </c>
      <c r="J41" s="8">
        <v>20310</v>
      </c>
      <c r="K41" s="9" t="s">
        <v>12</v>
      </c>
      <c r="L41" s="10"/>
    </row>
    <row r="42" spans="1:12" ht="15" customHeight="1">
      <c r="A42" s="5">
        <v>5</v>
      </c>
      <c r="B42" s="6">
        <v>44927</v>
      </c>
      <c r="C42" s="7" t="s">
        <v>89</v>
      </c>
      <c r="D42" s="7" t="s">
        <v>9</v>
      </c>
      <c r="E42" s="7"/>
      <c r="F42" s="7" t="s">
        <v>90</v>
      </c>
      <c r="G42" s="7" t="s">
        <v>11</v>
      </c>
      <c r="H42" s="7" t="str">
        <f t="shared" si="0"/>
        <v>دمج البيانات من نوبل الى نظام يامى -مسلسل-5-اسم الحساب من نوبل-مؤسسة الأزمان جولدن--رصيد افتتاحى</v>
      </c>
      <c r="I42" s="9">
        <v>0</v>
      </c>
      <c r="J42" s="8">
        <v>42682</v>
      </c>
      <c r="K42" s="9" t="s">
        <v>12</v>
      </c>
      <c r="L42" s="10"/>
    </row>
    <row r="43" spans="1:12" ht="15" customHeight="1">
      <c r="A43" s="5">
        <v>5</v>
      </c>
      <c r="B43" s="6">
        <v>44927</v>
      </c>
      <c r="C43" s="7" t="s">
        <v>91</v>
      </c>
      <c r="D43" s="7" t="s">
        <v>9</v>
      </c>
      <c r="E43" s="7"/>
      <c r="F43" s="7" t="s">
        <v>92</v>
      </c>
      <c r="G43" s="7" t="s">
        <v>11</v>
      </c>
      <c r="H43" s="7" t="str">
        <f t="shared" si="0"/>
        <v>دمج البيانات من نوبل الى نظام يامى -مسلسل-5-اسم الحساب من نوبل-مؤسسة الشرق الأوسط--رصيد افتتاحى</v>
      </c>
      <c r="I43" s="9">
        <v>0</v>
      </c>
      <c r="J43" s="8">
        <v>29465</v>
      </c>
      <c r="K43" s="9" t="s">
        <v>12</v>
      </c>
      <c r="L43" s="10"/>
    </row>
    <row r="44" spans="1:12" ht="15" customHeight="1">
      <c r="A44" s="5">
        <v>5</v>
      </c>
      <c r="B44" s="6">
        <v>44927</v>
      </c>
      <c r="C44" s="7" t="s">
        <v>93</v>
      </c>
      <c r="D44" s="7" t="s">
        <v>9</v>
      </c>
      <c r="E44" s="7"/>
      <c r="F44" s="7" t="s">
        <v>94</v>
      </c>
      <c r="G44" s="7" t="s">
        <v>11</v>
      </c>
      <c r="H44" s="7" t="str">
        <f t="shared" si="0"/>
        <v>دمج البيانات من نوبل الى نظام يامى -مسلسل-5-اسم الحساب من نوبل-مؤسسة المياسى--رصيد افتتاحى</v>
      </c>
      <c r="I44" s="9">
        <v>0</v>
      </c>
      <c r="J44" s="8">
        <v>25061.8</v>
      </c>
      <c r="K44" s="9" t="s">
        <v>12</v>
      </c>
      <c r="L44" s="10"/>
    </row>
    <row r="45" spans="1:12" ht="15" customHeight="1">
      <c r="A45" s="5">
        <v>5</v>
      </c>
      <c r="B45" s="6">
        <v>44927</v>
      </c>
      <c r="C45" s="7" t="s">
        <v>95</v>
      </c>
      <c r="D45" s="7" t="s">
        <v>9</v>
      </c>
      <c r="E45" s="7"/>
      <c r="F45" s="7" t="s">
        <v>96</v>
      </c>
      <c r="G45" s="7" t="s">
        <v>11</v>
      </c>
      <c r="H45" s="7" t="str">
        <f t="shared" si="0"/>
        <v>دمج البيانات من نوبل الى نظام يامى -مسلسل-5-اسم الحساب من نوبل-مؤسسة صفد التجارية--رصيد افتتاحى</v>
      </c>
      <c r="I45" s="9">
        <v>0</v>
      </c>
      <c r="J45" s="8">
        <v>17000</v>
      </c>
      <c r="K45" s="9" t="s">
        <v>12</v>
      </c>
      <c r="L45" s="10"/>
    </row>
    <row r="46" spans="1:12" ht="15" customHeight="1">
      <c r="A46" s="5">
        <v>5</v>
      </c>
      <c r="B46" s="6">
        <v>44927</v>
      </c>
      <c r="C46" s="7" t="s">
        <v>97</v>
      </c>
      <c r="D46" s="7" t="s">
        <v>9</v>
      </c>
      <c r="E46" s="7"/>
      <c r="F46" s="7" t="s">
        <v>98</v>
      </c>
      <c r="G46" s="7" t="s">
        <v>11</v>
      </c>
      <c r="H46" s="7" t="str">
        <f t="shared" si="0"/>
        <v>دمج البيانات من نوبل الى نظام يامى -مسلسل-5-اسم الحساب من نوبل-نصراوى--رصيد افتتاحى</v>
      </c>
      <c r="I46" s="9">
        <v>0</v>
      </c>
      <c r="J46" s="8">
        <v>755045</v>
      </c>
      <c r="K46" s="9" t="s">
        <v>12</v>
      </c>
      <c r="L46" s="10"/>
    </row>
    <row r="47" spans="1:12" ht="15" customHeight="1">
      <c r="A47" s="5">
        <v>5</v>
      </c>
      <c r="B47" s="6">
        <v>44927</v>
      </c>
      <c r="C47" s="7" t="s">
        <v>99</v>
      </c>
      <c r="D47" s="7" t="s">
        <v>9</v>
      </c>
      <c r="E47" s="7"/>
      <c r="F47" s="7" t="s">
        <v>100</v>
      </c>
      <c r="G47" s="7" t="s">
        <v>11</v>
      </c>
      <c r="H47" s="7" t="str">
        <f t="shared" si="0"/>
        <v>دمج البيانات من نوبل الى نظام يامى -مسلسل-5-اسم الحساب من نوبل-نصراوى كاش--رصيد افتتاحى</v>
      </c>
      <c r="I47" s="9">
        <v>0</v>
      </c>
      <c r="J47" s="8">
        <v>198258.35</v>
      </c>
      <c r="K47" s="9" t="s">
        <v>12</v>
      </c>
      <c r="L47" s="10"/>
    </row>
    <row r="48" spans="1:12" ht="15" customHeight="1">
      <c r="A48" s="5">
        <v>5</v>
      </c>
      <c r="B48" s="6">
        <v>44927</v>
      </c>
      <c r="C48" s="7" t="s">
        <v>101</v>
      </c>
      <c r="D48" s="7" t="s">
        <v>9</v>
      </c>
      <c r="E48" s="7"/>
      <c r="F48" s="7" t="s">
        <v>102</v>
      </c>
      <c r="G48" s="7" t="s">
        <v>11</v>
      </c>
      <c r="H48" s="7" t="str">
        <f t="shared" si="0"/>
        <v>دمج البيانات من نوبل الى نظام يامى -مسلسل-5-اسم الحساب من نوبل-هواء للتكييف--رصيد افتتاحى</v>
      </c>
      <c r="I48" s="8">
        <v>19686.8</v>
      </c>
      <c r="J48" s="9">
        <v>0</v>
      </c>
      <c r="K48" s="9" t="s">
        <v>12</v>
      </c>
      <c r="L48" s="10"/>
    </row>
    <row r="49" spans="1:12" ht="15" customHeight="1">
      <c r="A49" s="5">
        <v>5</v>
      </c>
      <c r="B49" s="6">
        <v>44927</v>
      </c>
      <c r="C49" s="7" t="s">
        <v>103</v>
      </c>
      <c r="D49" s="7" t="s">
        <v>9</v>
      </c>
      <c r="E49" s="7"/>
      <c r="F49" s="7" t="s">
        <v>104</v>
      </c>
      <c r="G49" s="7" t="s">
        <v>11</v>
      </c>
      <c r="H49" s="7" t="str">
        <f t="shared" si="0"/>
        <v>دمج البيانات من نوبل الى نظام يامى -مسلسل-5-اسم الحساب من نوبل-واثق زمان شودرى--رصيد افتتاحى</v>
      </c>
      <c r="I49" s="9">
        <v>0</v>
      </c>
      <c r="J49" s="9">
        <v>750</v>
      </c>
      <c r="K49" s="9" t="s">
        <v>12</v>
      </c>
      <c r="L49" s="10"/>
    </row>
    <row r="50" spans="1:12" ht="15" customHeight="1">
      <c r="A50" s="5">
        <v>5</v>
      </c>
      <c r="B50" s="6">
        <v>44927</v>
      </c>
      <c r="C50" s="7" t="s">
        <v>105</v>
      </c>
      <c r="D50" s="7" t="s">
        <v>9</v>
      </c>
      <c r="E50" s="7"/>
      <c r="F50" s="7" t="s">
        <v>106</v>
      </c>
      <c r="G50" s="7" t="s">
        <v>11</v>
      </c>
      <c r="H50" s="7" t="str">
        <f t="shared" si="0"/>
        <v>دمج البيانات من نوبل الى نظام يامى -مسلسل-5-اسم الحساب من نوبل-وايت ستون للحجر--رصيد افتتاحى</v>
      </c>
      <c r="I50" s="9">
        <v>0</v>
      </c>
      <c r="J50" s="8">
        <v>935922.55</v>
      </c>
      <c r="K50" s="9" t="s">
        <v>12</v>
      </c>
      <c r="L50" s="10"/>
    </row>
    <row r="51" spans="1:12" ht="15" customHeight="1">
      <c r="A51" s="5">
        <v>5</v>
      </c>
      <c r="B51" s="6">
        <v>44927</v>
      </c>
      <c r="C51" s="7"/>
      <c r="D51" s="7" t="s">
        <v>107</v>
      </c>
      <c r="E51" s="7"/>
      <c r="F51" s="7" t="s">
        <v>108</v>
      </c>
      <c r="G51" s="7" t="s">
        <v>11</v>
      </c>
      <c r="H51" s="7" t="str">
        <f t="shared" si="0"/>
        <v>دمج البيانات من نوبل الى نظام يامى -مسلسل-5-اسم الحساب من نوبل-Contra Account--رصيد افتتاحى</v>
      </c>
      <c r="I51" s="8">
        <v>2577867.9500000002</v>
      </c>
      <c r="J51" s="9">
        <v>0</v>
      </c>
      <c r="K51" s="9" t="s">
        <v>12</v>
      </c>
      <c r="L51" s="10"/>
    </row>
    <row r="52" spans="1:12" ht="15" customHeight="1">
      <c r="A52" s="5">
        <v>5</v>
      </c>
      <c r="B52" s="6">
        <v>44927</v>
      </c>
      <c r="C52" s="7" t="s">
        <v>109</v>
      </c>
      <c r="D52" s="7" t="s">
        <v>9</v>
      </c>
      <c r="E52" s="7"/>
      <c r="F52" s="7" t="s">
        <v>110</v>
      </c>
      <c r="G52" s="7" t="s">
        <v>11</v>
      </c>
      <c r="H52" s="7" t="str">
        <f t="shared" si="0"/>
        <v>دمج البيانات من نوبل الى نظام يامى -مسلسل-5-اسم الحساب من نوبل-زين الظفرة للتنظيفات--رصيد افتتاحى</v>
      </c>
      <c r="I52" s="9">
        <v>0</v>
      </c>
      <c r="J52" s="8">
        <v>3000</v>
      </c>
      <c r="K52" s="9" t="s">
        <v>12</v>
      </c>
      <c r="L52" s="10"/>
    </row>
    <row r="53" spans="1:12" ht="15" customHeight="1">
      <c r="A53" s="5">
        <v>5</v>
      </c>
      <c r="B53" s="6">
        <v>44927</v>
      </c>
      <c r="C53" s="7" t="s">
        <v>111</v>
      </c>
      <c r="D53" s="7" t="s">
        <v>9</v>
      </c>
      <c r="E53" s="7"/>
      <c r="F53" s="7" t="s">
        <v>112</v>
      </c>
      <c r="G53" s="7" t="s">
        <v>11</v>
      </c>
      <c r="H53" s="7" t="str">
        <f t="shared" si="0"/>
        <v>دمج البيانات من نوبل الى نظام يامى -مسلسل-5-اسم الحساب من نوبل-هيروتك للتجارة العامة--رصيد افتتاحى</v>
      </c>
      <c r="I53" s="8">
        <v>16500</v>
      </c>
      <c r="J53" s="9">
        <v>0</v>
      </c>
      <c r="K53" s="9" t="s">
        <v>12</v>
      </c>
      <c r="L53" s="10"/>
    </row>
    <row r="54" spans="1:12" ht="15" customHeight="1">
      <c r="A54" s="5">
        <v>5</v>
      </c>
      <c r="B54" s="6">
        <v>44927</v>
      </c>
      <c r="C54" s="7" t="s">
        <v>113</v>
      </c>
      <c r="D54" s="7" t="s">
        <v>9</v>
      </c>
      <c r="E54" s="7"/>
      <c r="F54" s="7" t="s">
        <v>114</v>
      </c>
      <c r="G54" s="7" t="s">
        <v>11</v>
      </c>
      <c r="H54" s="7" t="str">
        <f t="shared" si="0"/>
        <v>دمج البيانات من نوبل الى نظام يامى -مسلسل-5-اسم الحساب من نوبل-مصنع بلدكو--رصيد افتتاحى</v>
      </c>
      <c r="I54" s="9">
        <v>0</v>
      </c>
      <c r="J54" s="8">
        <v>4147.5</v>
      </c>
      <c r="K54" s="9" t="s">
        <v>12</v>
      </c>
      <c r="L54" s="10"/>
    </row>
    <row r="55" spans="1:12" ht="15" customHeight="1">
      <c r="A55" s="5">
        <v>8</v>
      </c>
      <c r="B55" s="6">
        <v>44927</v>
      </c>
      <c r="C55" s="7"/>
      <c r="D55" s="7" t="s">
        <v>115</v>
      </c>
      <c r="E55" s="7"/>
      <c r="F55" s="7" t="s">
        <v>116</v>
      </c>
      <c r="G55" s="7" t="s">
        <v>117</v>
      </c>
      <c r="H55" s="7" t="str">
        <f t="shared" si="0"/>
        <v>دمج البيانات من نوبل الى نظام يامى -مسلسل-8-اسم الحساب من نوبل-السقالات--الرصيد الافتتاحى</v>
      </c>
      <c r="I55" s="8">
        <v>3810</v>
      </c>
      <c r="J55" s="9">
        <v>0</v>
      </c>
      <c r="K55" s="9" t="s">
        <v>12</v>
      </c>
      <c r="L55" s="10"/>
    </row>
    <row r="56" spans="1:12" ht="15" customHeight="1">
      <c r="A56" s="5">
        <v>8</v>
      </c>
      <c r="B56" s="6">
        <v>44927</v>
      </c>
      <c r="C56" s="7"/>
      <c r="D56" s="7" t="s">
        <v>235</v>
      </c>
      <c r="E56" s="7"/>
      <c r="F56" s="7" t="s">
        <v>118</v>
      </c>
      <c r="G56" s="7" t="s">
        <v>117</v>
      </c>
      <c r="H56" s="7" t="str">
        <f t="shared" si="0"/>
        <v>دمج البيانات من نوبل الى نظام يامى -مسلسل-8-اسم الحساب من نوبل-برامج--الرصيد الافتتاحى</v>
      </c>
      <c r="I56" s="8">
        <v>3622.5</v>
      </c>
      <c r="J56" s="9">
        <v>0</v>
      </c>
      <c r="K56" s="9" t="s">
        <v>12</v>
      </c>
      <c r="L56" s="10"/>
    </row>
    <row r="57" spans="1:12" ht="15" customHeight="1">
      <c r="A57" s="5">
        <v>8</v>
      </c>
      <c r="B57" s="6">
        <v>44927</v>
      </c>
      <c r="C57" s="7"/>
      <c r="D57" s="7" t="s">
        <v>119</v>
      </c>
      <c r="E57" s="7"/>
      <c r="F57" s="7" t="s">
        <v>120</v>
      </c>
      <c r="G57" s="7" t="s">
        <v>117</v>
      </c>
      <c r="H57" s="7" t="str">
        <f t="shared" si="0"/>
        <v>دمج البيانات من نوبل الى نظام يامى -مسلسل-8-اسم الحساب من نوبل-Vehicles.-original Value--الرصيد الافتتاحى</v>
      </c>
      <c r="I57" s="8">
        <v>284621</v>
      </c>
      <c r="J57" s="9">
        <v>0</v>
      </c>
      <c r="K57" s="9" t="s">
        <v>12</v>
      </c>
      <c r="L57" s="10"/>
    </row>
    <row r="58" spans="1:12" ht="15" customHeight="1">
      <c r="A58" s="5">
        <v>8</v>
      </c>
      <c r="B58" s="6">
        <v>44927</v>
      </c>
      <c r="C58" s="7"/>
      <c r="D58" s="7" t="s">
        <v>121</v>
      </c>
      <c r="E58" s="7"/>
      <c r="F58" s="7" t="s">
        <v>122</v>
      </c>
      <c r="G58" s="7" t="s">
        <v>117</v>
      </c>
      <c r="H58" s="7" t="str">
        <f t="shared" si="0"/>
        <v>دمج البيانات من نوبل الى نظام يامى -مسلسل-8-اسم الحساب من نوبل-مصرف ابوظبي الاسلامى--الرصيد الافتتاحى</v>
      </c>
      <c r="I58" s="8">
        <v>909839.08</v>
      </c>
      <c r="J58" s="9">
        <v>0</v>
      </c>
      <c r="K58" s="9" t="s">
        <v>12</v>
      </c>
      <c r="L58" s="10"/>
    </row>
    <row r="59" spans="1:12" ht="15" customHeight="1">
      <c r="A59" s="5">
        <v>8</v>
      </c>
      <c r="B59" s="6">
        <v>44927</v>
      </c>
      <c r="C59" s="7"/>
      <c r="D59" s="7" t="s">
        <v>123</v>
      </c>
      <c r="E59" s="7"/>
      <c r="F59" s="7" t="s">
        <v>124</v>
      </c>
      <c r="G59" s="7" t="s">
        <v>117</v>
      </c>
      <c r="H59" s="7" t="str">
        <f t="shared" si="0"/>
        <v>دمج البيانات من نوبل الى نظام يامى -مسلسل-8-اسم الحساب من نوبل-بنك الفجيرة--الرصيد الافتتاحى</v>
      </c>
      <c r="I59" s="8">
        <v>230254.96</v>
      </c>
      <c r="J59" s="9">
        <v>0</v>
      </c>
      <c r="K59" s="9" t="s">
        <v>12</v>
      </c>
      <c r="L59" s="10"/>
    </row>
    <row r="60" spans="1:12" ht="15" customHeight="1">
      <c r="A60" s="5">
        <v>8</v>
      </c>
      <c r="B60" s="6">
        <v>44927</v>
      </c>
      <c r="C60" s="7"/>
      <c r="D60" s="7" t="s">
        <v>125</v>
      </c>
      <c r="E60" s="7"/>
      <c r="F60" s="7" t="s">
        <v>126</v>
      </c>
      <c r="G60" s="7" t="s">
        <v>117</v>
      </c>
      <c r="H60" s="7" t="str">
        <f t="shared" si="0"/>
        <v>دمج البيانات من نوبل الى نظام يامى -مسلسل-8-اسم الحساب من نوبل-بنك دبي الاسلامى--الرصيد الافتتاحى</v>
      </c>
      <c r="I60" s="9">
        <v>0</v>
      </c>
      <c r="J60" s="8">
        <v>218813</v>
      </c>
      <c r="K60" s="9" t="s">
        <v>12</v>
      </c>
      <c r="L60" s="10"/>
    </row>
    <row r="61" spans="1:12" ht="15" customHeight="1">
      <c r="A61" s="5">
        <v>8</v>
      </c>
      <c r="B61" s="6">
        <v>44927</v>
      </c>
      <c r="C61" s="7"/>
      <c r="D61" s="7" t="s">
        <v>127</v>
      </c>
      <c r="E61" s="7"/>
      <c r="F61" s="7" t="s">
        <v>128</v>
      </c>
      <c r="G61" s="7" t="s">
        <v>117</v>
      </c>
      <c r="H61" s="7" t="str">
        <f t="shared" si="0"/>
        <v>دمج البيانات من نوبل الى نظام يامى -مسلسل-8-اسم الحساب من نوبل-Pdc's Issued--الرصيد الافتتاحى</v>
      </c>
      <c r="I61" s="9">
        <v>0</v>
      </c>
      <c r="J61" s="8">
        <v>1118870</v>
      </c>
      <c r="K61" s="9" t="s">
        <v>12</v>
      </c>
      <c r="L61" s="10"/>
    </row>
    <row r="62" spans="1:12" ht="15" customHeight="1">
      <c r="A62" s="5">
        <v>8</v>
      </c>
      <c r="B62" s="6">
        <v>44927</v>
      </c>
      <c r="C62" s="7"/>
      <c r="D62" s="7" t="s">
        <v>129</v>
      </c>
      <c r="E62" s="7"/>
      <c r="F62" s="7" t="s">
        <v>130</v>
      </c>
      <c r="G62" s="7" t="s">
        <v>117</v>
      </c>
      <c r="H62" s="7" t="str">
        <f t="shared" si="0"/>
        <v>دمج البيانات من نوبل الى نظام يامى -مسلسل-8-اسم الحساب من نوبل-Miscellaneous Revenues--الرصيد الافتتاحى</v>
      </c>
      <c r="I62" s="9">
        <v>0</v>
      </c>
      <c r="J62" s="8">
        <v>204193.5</v>
      </c>
      <c r="K62" s="9" t="s">
        <v>12</v>
      </c>
      <c r="L62" s="10"/>
    </row>
    <row r="63" spans="1:12" ht="15" customHeight="1">
      <c r="A63" s="5">
        <v>8</v>
      </c>
      <c r="B63" s="6">
        <v>44927</v>
      </c>
      <c r="C63" s="7"/>
      <c r="D63" s="7" t="s">
        <v>129</v>
      </c>
      <c r="E63" s="7"/>
      <c r="F63" s="7" t="s">
        <v>131</v>
      </c>
      <c r="G63" s="7" t="s">
        <v>117</v>
      </c>
      <c r="H63" s="7" t="str">
        <f t="shared" si="0"/>
        <v>دمج البيانات من نوبل الى نظام يامى -مسلسل-8-اسم الحساب من نوبل-Purchases Discount--الرصيد الافتتاحى</v>
      </c>
      <c r="I63" s="9">
        <v>0</v>
      </c>
      <c r="J63" s="8">
        <v>202476.3</v>
      </c>
      <c r="K63" s="9" t="s">
        <v>12</v>
      </c>
      <c r="L63" s="10"/>
    </row>
    <row r="64" spans="1:12" ht="15" customHeight="1">
      <c r="A64" s="5">
        <v>8</v>
      </c>
      <c r="B64" s="6">
        <v>44927</v>
      </c>
      <c r="C64" s="7"/>
      <c r="D64" s="7" t="s">
        <v>132</v>
      </c>
      <c r="E64" s="7"/>
      <c r="F64" s="7" t="s">
        <v>133</v>
      </c>
      <c r="G64" s="7" t="s">
        <v>117</v>
      </c>
      <c r="H64" s="7" t="str">
        <f t="shared" si="0"/>
        <v>دمج البيانات من نوبل الى نظام يامى -مسلسل-8-اسم الحساب من نوبل-سلفة اجمل فيزة--الرصيد الافتتاحى</v>
      </c>
      <c r="I64" s="9">
        <v>800</v>
      </c>
      <c r="J64" s="9">
        <v>0</v>
      </c>
      <c r="K64" s="9" t="s">
        <v>12</v>
      </c>
      <c r="L64" s="10"/>
    </row>
    <row r="65" spans="1:12" ht="15" customHeight="1">
      <c r="A65" s="5">
        <v>8</v>
      </c>
      <c r="B65" s="6">
        <v>44927</v>
      </c>
      <c r="C65" s="7"/>
      <c r="D65" s="7" t="s">
        <v>132</v>
      </c>
      <c r="E65" s="7"/>
      <c r="F65" s="7" t="s">
        <v>134</v>
      </c>
      <c r="G65" s="7" t="s">
        <v>117</v>
      </c>
      <c r="H65" s="7" t="str">
        <f t="shared" si="0"/>
        <v>دمج البيانات من نوبل الى نظام يامى -مسلسل-8-اسم الحساب من نوبل-سلفة العامل قاسم فيزة--الرصيد الافتتاحى</v>
      </c>
      <c r="I65" s="9">
        <v>900</v>
      </c>
      <c r="J65" s="9">
        <v>0</v>
      </c>
      <c r="K65" s="9" t="s">
        <v>12</v>
      </c>
      <c r="L65" s="10"/>
    </row>
    <row r="66" spans="1:12" ht="15" customHeight="1">
      <c r="A66" s="5">
        <v>8</v>
      </c>
      <c r="B66" s="6">
        <v>44927</v>
      </c>
      <c r="C66" s="7"/>
      <c r="D66" s="7" t="s">
        <v>132</v>
      </c>
      <c r="E66" s="7"/>
      <c r="F66" s="7" t="s">
        <v>135</v>
      </c>
      <c r="G66" s="7" t="s">
        <v>117</v>
      </c>
      <c r="H66" s="7" t="str">
        <f t="shared" si="0"/>
        <v>دمج البيانات من نوبل الى نظام يامى -مسلسل-8-اسم الحساب من نوبل-سلفة ايمون فيزة--الرصيد الافتتاحى</v>
      </c>
      <c r="I66" s="8">
        <v>1250</v>
      </c>
      <c r="J66" s="9">
        <v>0</v>
      </c>
      <c r="K66" s="9" t="s">
        <v>12</v>
      </c>
      <c r="L66" s="10"/>
    </row>
    <row r="67" spans="1:12" ht="15" customHeight="1">
      <c r="A67" s="5">
        <v>8</v>
      </c>
      <c r="B67" s="6">
        <v>44927</v>
      </c>
      <c r="C67" s="7"/>
      <c r="D67" s="7" t="s">
        <v>132</v>
      </c>
      <c r="E67" s="7"/>
      <c r="F67" s="7" t="s">
        <v>136</v>
      </c>
      <c r="G67" s="7" t="s">
        <v>117</v>
      </c>
      <c r="H67" s="7" t="str">
        <f t="shared" si="0"/>
        <v>دمج البيانات من نوبل الى نظام يامى -مسلسل-8-اسم الحساب من نوبل-سلفة باوان فيزة--الرصيد الافتتاحى</v>
      </c>
      <c r="I67" s="9">
        <v>800</v>
      </c>
      <c r="J67" s="9">
        <v>0</v>
      </c>
      <c r="K67" s="9" t="s">
        <v>12</v>
      </c>
      <c r="L67" s="10"/>
    </row>
    <row r="68" spans="1:12" ht="15" customHeight="1">
      <c r="A68" s="5">
        <v>8</v>
      </c>
      <c r="B68" s="6">
        <v>44927</v>
      </c>
      <c r="C68" s="7"/>
      <c r="D68" s="7" t="s">
        <v>132</v>
      </c>
      <c r="E68" s="7"/>
      <c r="F68" s="7" t="s">
        <v>137</v>
      </c>
      <c r="G68" s="7" t="s">
        <v>117</v>
      </c>
      <c r="H68" s="7" t="str">
        <f t="shared" ref="H68:H131" si="1">CONCATENATE(F68,"-",G68)</f>
        <v>دمج البيانات من نوبل الى نظام يامى -مسلسل-8-اسم الحساب من نوبل-سلفة جبير فيزة--الرصيد الافتتاحى</v>
      </c>
      <c r="I68" s="8">
        <v>1500</v>
      </c>
      <c r="J68" s="9">
        <v>0</v>
      </c>
      <c r="K68" s="9" t="s">
        <v>12</v>
      </c>
      <c r="L68" s="10"/>
    </row>
    <row r="69" spans="1:12" ht="15" customHeight="1">
      <c r="A69" s="5">
        <v>8</v>
      </c>
      <c r="B69" s="6">
        <v>44927</v>
      </c>
      <c r="C69" s="7"/>
      <c r="D69" s="7" t="s">
        <v>132</v>
      </c>
      <c r="E69" s="7"/>
      <c r="F69" s="7" t="s">
        <v>138</v>
      </c>
      <c r="G69" s="7" t="s">
        <v>117</v>
      </c>
      <c r="H69" s="7" t="str">
        <f t="shared" si="1"/>
        <v>دمج البيانات من نوبل الى نظام يامى -مسلسل-8-اسم الحساب من نوبل-سلفة ديوان بيرو فيزة--الرصيد الافتتاحى</v>
      </c>
      <c r="I69" s="8">
        <v>1200</v>
      </c>
      <c r="J69" s="9">
        <v>0</v>
      </c>
      <c r="K69" s="9" t="s">
        <v>12</v>
      </c>
      <c r="L69" s="10"/>
    </row>
    <row r="70" spans="1:12" ht="15" customHeight="1">
      <c r="A70" s="5">
        <v>8</v>
      </c>
      <c r="B70" s="6">
        <v>44927</v>
      </c>
      <c r="C70" s="7"/>
      <c r="D70" s="7" t="s">
        <v>132</v>
      </c>
      <c r="E70" s="7"/>
      <c r="F70" s="7" t="s">
        <v>139</v>
      </c>
      <c r="G70" s="7" t="s">
        <v>117</v>
      </c>
      <c r="H70" s="7" t="str">
        <f t="shared" si="1"/>
        <v>دمج البيانات من نوبل الى نظام يامى -مسلسل-8-اسم الحساب من نوبل-سلفة راجبالى فيزة--الرصيد الافتتاحى</v>
      </c>
      <c r="I70" s="8">
        <v>2450</v>
      </c>
      <c r="J70" s="9">
        <v>0</v>
      </c>
      <c r="K70" s="9" t="s">
        <v>12</v>
      </c>
      <c r="L70" s="10"/>
    </row>
    <row r="71" spans="1:12" ht="15" customHeight="1">
      <c r="A71" s="5">
        <v>8</v>
      </c>
      <c r="B71" s="6">
        <v>44927</v>
      </c>
      <c r="C71" s="7"/>
      <c r="D71" s="7" t="s">
        <v>132</v>
      </c>
      <c r="E71" s="7"/>
      <c r="F71" s="7" t="s">
        <v>140</v>
      </c>
      <c r="G71" s="7" t="s">
        <v>117</v>
      </c>
      <c r="H71" s="7" t="str">
        <f t="shared" si="1"/>
        <v>دمج البيانات من نوبل الى نظام يامى -مسلسل-8-اسم الحساب من نوبل-سلفة رحيل فيزة--الرصيد الافتتاحى</v>
      </c>
      <c r="I71" s="8">
        <v>1400</v>
      </c>
      <c r="J71" s="9">
        <v>0</v>
      </c>
      <c r="K71" s="9" t="s">
        <v>12</v>
      </c>
      <c r="L71" s="10"/>
    </row>
    <row r="72" spans="1:12" ht="15" customHeight="1">
      <c r="A72" s="5">
        <v>8</v>
      </c>
      <c r="B72" s="6">
        <v>44927</v>
      </c>
      <c r="C72" s="7"/>
      <c r="D72" s="7" t="s">
        <v>132</v>
      </c>
      <c r="E72" s="7"/>
      <c r="F72" s="7" t="s">
        <v>141</v>
      </c>
      <c r="G72" s="7" t="s">
        <v>117</v>
      </c>
      <c r="H72" s="7" t="str">
        <f t="shared" si="1"/>
        <v>دمج البيانات من نوبل الى نظام يامى -مسلسل-8-اسم الحساب من نوبل-سلفة سليم فيزة--الرصيد الافتتاحى</v>
      </c>
      <c r="I72" s="8">
        <v>1000</v>
      </c>
      <c r="J72" s="9">
        <v>0</v>
      </c>
      <c r="K72" s="9" t="s">
        <v>12</v>
      </c>
      <c r="L72" s="10"/>
    </row>
    <row r="73" spans="1:12" ht="15" customHeight="1">
      <c r="A73" s="5">
        <v>8</v>
      </c>
      <c r="B73" s="6">
        <v>44927</v>
      </c>
      <c r="C73" s="7"/>
      <c r="D73" s="7" t="s">
        <v>132</v>
      </c>
      <c r="E73" s="7"/>
      <c r="F73" s="7" t="s">
        <v>142</v>
      </c>
      <c r="G73" s="7" t="s">
        <v>117</v>
      </c>
      <c r="H73" s="7" t="str">
        <f t="shared" si="1"/>
        <v>دمج البيانات من نوبل الى نظام يامى -مسلسل-8-اسم الحساب من نوبل-سلفة سليمان فيزة--الرصيد الافتتاحى</v>
      </c>
      <c r="I73" s="8">
        <v>1950</v>
      </c>
      <c r="J73" s="9">
        <v>0</v>
      </c>
      <c r="K73" s="9" t="s">
        <v>12</v>
      </c>
      <c r="L73" s="10"/>
    </row>
    <row r="74" spans="1:12" ht="15" customHeight="1">
      <c r="A74" s="5">
        <v>8</v>
      </c>
      <c r="B74" s="6">
        <v>44927</v>
      </c>
      <c r="C74" s="7"/>
      <c r="D74" s="7" t="s">
        <v>132</v>
      </c>
      <c r="E74" s="7"/>
      <c r="F74" s="7" t="s">
        <v>143</v>
      </c>
      <c r="G74" s="7" t="s">
        <v>117</v>
      </c>
      <c r="H74" s="7" t="str">
        <f t="shared" si="1"/>
        <v>دمج البيانات من نوبل الى نظام يامى -مسلسل-8-اسم الحساب من نوبل-سلفة شيلكون فيزة--الرصيد الافتتاحى</v>
      </c>
      <c r="I74" s="8">
        <v>1000</v>
      </c>
      <c r="J74" s="9">
        <v>0</v>
      </c>
      <c r="K74" s="9" t="s">
        <v>12</v>
      </c>
      <c r="L74" s="10"/>
    </row>
    <row r="75" spans="1:12" ht="15" customHeight="1">
      <c r="A75" s="5">
        <v>8</v>
      </c>
      <c r="B75" s="6">
        <v>44927</v>
      </c>
      <c r="C75" s="7"/>
      <c r="D75" s="7" t="s">
        <v>132</v>
      </c>
      <c r="E75" s="7"/>
      <c r="F75" s="7" t="s">
        <v>144</v>
      </c>
      <c r="G75" s="7" t="s">
        <v>117</v>
      </c>
      <c r="H75" s="7" t="str">
        <f t="shared" si="1"/>
        <v>دمج البيانات من نوبل الى نظام يامى -مسلسل-8-اسم الحساب من نوبل-سلفة عبدالرحيم فيزة--الرصيد الافتتاحى</v>
      </c>
      <c r="I75" s="8">
        <v>1320</v>
      </c>
      <c r="J75" s="9">
        <v>0</v>
      </c>
      <c r="K75" s="9" t="s">
        <v>12</v>
      </c>
      <c r="L75" s="10"/>
    </row>
    <row r="76" spans="1:12" ht="15" customHeight="1">
      <c r="A76" s="5">
        <v>8</v>
      </c>
      <c r="B76" s="6">
        <v>44927</v>
      </c>
      <c r="C76" s="7"/>
      <c r="D76" s="7" t="s">
        <v>132</v>
      </c>
      <c r="E76" s="7"/>
      <c r="F76" s="7" t="s">
        <v>145</v>
      </c>
      <c r="G76" s="7" t="s">
        <v>117</v>
      </c>
      <c r="H76" s="7" t="str">
        <f t="shared" si="1"/>
        <v>دمج البيانات من نوبل الى نظام يامى -مسلسل-8-اسم الحساب من نوبل-سلفة عبدالقادر فيزة--الرصيد الافتتاحى</v>
      </c>
      <c r="I76" s="8">
        <v>1450</v>
      </c>
      <c r="J76" s="9">
        <v>0</v>
      </c>
      <c r="K76" s="9" t="s">
        <v>12</v>
      </c>
      <c r="L76" s="10"/>
    </row>
    <row r="77" spans="1:12" ht="15" customHeight="1">
      <c r="A77" s="5">
        <v>8</v>
      </c>
      <c r="B77" s="6">
        <v>44927</v>
      </c>
      <c r="C77" s="7"/>
      <c r="D77" s="7" t="s">
        <v>132</v>
      </c>
      <c r="E77" s="7"/>
      <c r="F77" s="7" t="s">
        <v>146</v>
      </c>
      <c r="G77" s="7" t="s">
        <v>117</v>
      </c>
      <c r="H77" s="7" t="str">
        <f t="shared" si="1"/>
        <v>دمج البيانات من نوبل الى نظام يامى -مسلسل-8-اسم الحساب من نوبل-سلفة عرفان--الرصيد الافتتاحى</v>
      </c>
      <c r="I77" s="8">
        <v>1000</v>
      </c>
      <c r="J77" s="9">
        <v>0</v>
      </c>
      <c r="K77" s="9" t="s">
        <v>12</v>
      </c>
      <c r="L77" s="10"/>
    </row>
    <row r="78" spans="1:12" ht="15" customHeight="1">
      <c r="A78" s="5">
        <v>8</v>
      </c>
      <c r="B78" s="6">
        <v>44927</v>
      </c>
      <c r="C78" s="7"/>
      <c r="D78" s="7" t="s">
        <v>132</v>
      </c>
      <c r="E78" s="7"/>
      <c r="F78" s="7" t="s">
        <v>147</v>
      </c>
      <c r="G78" s="7" t="s">
        <v>117</v>
      </c>
      <c r="H78" s="7" t="str">
        <f t="shared" si="1"/>
        <v>دمج البيانات من نوبل الى نظام يامى -مسلسل-8-اسم الحساب من نوبل-سلفة علاء العقله--الرصيد الافتتاحى</v>
      </c>
      <c r="I78" s="8">
        <v>3972.5</v>
      </c>
      <c r="J78" s="9">
        <v>0</v>
      </c>
      <c r="K78" s="9" t="s">
        <v>12</v>
      </c>
      <c r="L78" s="10"/>
    </row>
    <row r="79" spans="1:12" ht="15" customHeight="1">
      <c r="A79" s="5">
        <v>8</v>
      </c>
      <c r="B79" s="6">
        <v>44927</v>
      </c>
      <c r="C79" s="7"/>
      <c r="D79" s="7" t="s">
        <v>132</v>
      </c>
      <c r="E79" s="7"/>
      <c r="F79" s="7" t="s">
        <v>148</v>
      </c>
      <c r="G79" s="7" t="s">
        <v>117</v>
      </c>
      <c r="H79" s="7" t="str">
        <f t="shared" si="1"/>
        <v>دمج البيانات من نوبل الى نظام يامى -مسلسل-8-اسم الحساب من نوبل-سلفة عمران خان--الرصيد الافتتاحى</v>
      </c>
      <c r="I79" s="9">
        <v>850</v>
      </c>
      <c r="J79" s="9">
        <v>0</v>
      </c>
      <c r="K79" s="9" t="s">
        <v>12</v>
      </c>
      <c r="L79" s="10"/>
    </row>
    <row r="80" spans="1:12" ht="15" customHeight="1">
      <c r="A80" s="5">
        <v>8</v>
      </c>
      <c r="B80" s="6">
        <v>44927</v>
      </c>
      <c r="C80" s="7"/>
      <c r="D80" s="7" t="s">
        <v>132</v>
      </c>
      <c r="E80" s="7"/>
      <c r="F80" s="7" t="s">
        <v>149</v>
      </c>
      <c r="G80" s="7" t="s">
        <v>117</v>
      </c>
      <c r="H80" s="7" t="str">
        <f t="shared" si="1"/>
        <v>دمج البيانات من نوبل الى نظام يامى -مسلسل-8-اسم الحساب من نوبل-سلفة فيصل فيزة--الرصيد الافتتاحى</v>
      </c>
      <c r="I80" s="8">
        <v>1000</v>
      </c>
      <c r="J80" s="9">
        <v>0</v>
      </c>
      <c r="K80" s="9" t="s">
        <v>12</v>
      </c>
      <c r="L80" s="10"/>
    </row>
    <row r="81" spans="1:12" ht="15" customHeight="1">
      <c r="A81" s="5">
        <v>8</v>
      </c>
      <c r="B81" s="6">
        <v>44927</v>
      </c>
      <c r="C81" s="7"/>
      <c r="D81" s="7" t="s">
        <v>132</v>
      </c>
      <c r="E81" s="7"/>
      <c r="F81" s="7" t="s">
        <v>150</v>
      </c>
      <c r="G81" s="7" t="s">
        <v>117</v>
      </c>
      <c r="H81" s="7" t="str">
        <f t="shared" si="1"/>
        <v>دمج البيانات من نوبل الى نظام يامى -مسلسل-8-اسم الحساب من نوبل-سلفة كومار--الرصيد الافتتاحى</v>
      </c>
      <c r="I81" s="9">
        <v>200</v>
      </c>
      <c r="J81" s="9">
        <v>0</v>
      </c>
      <c r="K81" s="9" t="s">
        <v>12</v>
      </c>
      <c r="L81" s="10"/>
    </row>
    <row r="82" spans="1:12" ht="15" customHeight="1">
      <c r="A82" s="5">
        <v>8</v>
      </c>
      <c r="B82" s="6">
        <v>44927</v>
      </c>
      <c r="C82" s="7"/>
      <c r="D82" s="7" t="s">
        <v>132</v>
      </c>
      <c r="E82" s="7"/>
      <c r="F82" s="7" t="s">
        <v>151</v>
      </c>
      <c r="G82" s="7" t="s">
        <v>117</v>
      </c>
      <c r="H82" s="7" t="str">
        <f t="shared" si="1"/>
        <v>دمج البيانات من نوبل الى نظام يامى -مسلسل-8-اسم الحساب من نوبل-سلفة محمد عمران فيزة--الرصيد الافتتاحى</v>
      </c>
      <c r="I82" s="8">
        <v>1200</v>
      </c>
      <c r="J82" s="9">
        <v>0</v>
      </c>
      <c r="K82" s="9" t="s">
        <v>12</v>
      </c>
      <c r="L82" s="10"/>
    </row>
    <row r="83" spans="1:12" ht="15" customHeight="1">
      <c r="A83" s="5">
        <v>8</v>
      </c>
      <c r="B83" s="6">
        <v>44927</v>
      </c>
      <c r="C83" s="7"/>
      <c r="D83" s="7" t="s">
        <v>132</v>
      </c>
      <c r="E83" s="7"/>
      <c r="F83" s="7" t="s">
        <v>152</v>
      </c>
      <c r="G83" s="7" t="s">
        <v>117</v>
      </c>
      <c r="H83" s="7" t="str">
        <f t="shared" si="1"/>
        <v>دمج البيانات من نوبل الى نظام يامى -مسلسل-8-اسم الحساب من نوبل-سلفة نرمل داس فيزة--الرصيد الافتتاحى</v>
      </c>
      <c r="I83" s="8">
        <v>1700</v>
      </c>
      <c r="J83" s="9">
        <v>0</v>
      </c>
      <c r="K83" s="9" t="s">
        <v>12</v>
      </c>
      <c r="L83" s="10"/>
    </row>
    <row r="84" spans="1:12" ht="15" customHeight="1">
      <c r="A84" s="5">
        <v>8</v>
      </c>
      <c r="B84" s="6">
        <v>44927</v>
      </c>
      <c r="C84" s="7"/>
      <c r="D84" s="7" t="s">
        <v>132</v>
      </c>
      <c r="E84" s="7"/>
      <c r="F84" s="7" t="s">
        <v>153</v>
      </c>
      <c r="G84" s="7" t="s">
        <v>117</v>
      </c>
      <c r="H84" s="7" t="str">
        <f t="shared" si="1"/>
        <v>دمج البيانات من نوبل الى نظام يامى -مسلسل-8-اسم الحساب من نوبل-سلفة ننهاكو فيزه--الرصيد الافتتاحى</v>
      </c>
      <c r="I84" s="8">
        <v>2600</v>
      </c>
      <c r="J84" s="9">
        <v>0</v>
      </c>
      <c r="K84" s="9" t="s">
        <v>12</v>
      </c>
      <c r="L84" s="10"/>
    </row>
    <row r="85" spans="1:12" ht="15" customHeight="1">
      <c r="A85" s="5">
        <v>8</v>
      </c>
      <c r="B85" s="6">
        <v>44927</v>
      </c>
      <c r="C85" s="7"/>
      <c r="D85" s="7" t="s">
        <v>154</v>
      </c>
      <c r="E85" s="7"/>
      <c r="F85" s="7" t="s">
        <v>155</v>
      </c>
      <c r="G85" s="7" t="s">
        <v>117</v>
      </c>
      <c r="H85" s="7" t="str">
        <f t="shared" si="1"/>
        <v>دمج البيانات من نوبل الى نظام يامى -مسلسل-8-اسم الحساب من نوبل-عهدة الشبراوي--الرصيد الافتتاحى</v>
      </c>
      <c r="I85" s="9">
        <v>0</v>
      </c>
      <c r="J85" s="8">
        <v>1715.26</v>
      </c>
      <c r="K85" s="9" t="s">
        <v>12</v>
      </c>
      <c r="L85" s="10"/>
    </row>
    <row r="86" spans="1:12" ht="15" customHeight="1">
      <c r="A86" s="5">
        <v>8</v>
      </c>
      <c r="B86" s="6">
        <v>44927</v>
      </c>
      <c r="C86" s="7"/>
      <c r="D86" s="7" t="s">
        <v>154</v>
      </c>
      <c r="E86" s="7"/>
      <c r="F86" s="7" t="s">
        <v>156</v>
      </c>
      <c r="G86" s="7" t="s">
        <v>117</v>
      </c>
      <c r="H86" s="7" t="str">
        <f t="shared" si="1"/>
        <v>دمج البيانات من نوبل الى نظام يامى -مسلسل-8-اسم الحساب من نوبل-عهدة حمد--الرصيد الافتتاحى</v>
      </c>
      <c r="I86" s="9">
        <v>0</v>
      </c>
      <c r="J86" s="8">
        <v>4140.7</v>
      </c>
      <c r="K86" s="9" t="s">
        <v>12</v>
      </c>
      <c r="L86" s="10"/>
    </row>
    <row r="87" spans="1:12" ht="15" customHeight="1">
      <c r="A87" s="5">
        <v>8</v>
      </c>
      <c r="B87" s="6">
        <v>44927</v>
      </c>
      <c r="C87" s="7"/>
      <c r="D87" s="7" t="s">
        <v>154</v>
      </c>
      <c r="E87" s="7"/>
      <c r="F87" s="7" t="s">
        <v>157</v>
      </c>
      <c r="G87" s="7" t="s">
        <v>117</v>
      </c>
      <c r="H87" s="7" t="str">
        <f t="shared" si="1"/>
        <v>دمج البيانات من نوبل الى نظام يامى -مسلسل-8-اسم الحساب من نوبل-عهدة شبير--الرصيد الافتتاحى</v>
      </c>
      <c r="I87" s="9">
        <v>0</v>
      </c>
      <c r="J87" s="9">
        <v>127.85</v>
      </c>
      <c r="K87" s="9" t="s">
        <v>12</v>
      </c>
      <c r="L87" s="10"/>
    </row>
    <row r="88" spans="1:12" ht="15" customHeight="1">
      <c r="A88" s="5">
        <v>8</v>
      </c>
      <c r="B88" s="6">
        <v>44927</v>
      </c>
      <c r="C88" s="7"/>
      <c r="D88" s="7" t="s">
        <v>154</v>
      </c>
      <c r="E88" s="7"/>
      <c r="F88" s="7" t="s">
        <v>158</v>
      </c>
      <c r="G88" s="7" t="s">
        <v>117</v>
      </c>
      <c r="H88" s="7" t="str">
        <f t="shared" si="1"/>
        <v>دمج البيانات من نوبل الى نظام يامى -مسلسل-8-اسم الحساب من نوبل-عهدة قاسم--الرصيد الافتتاحى</v>
      </c>
      <c r="I88" s="8">
        <v>2974.6</v>
      </c>
      <c r="J88" s="9">
        <v>0</v>
      </c>
      <c r="K88" s="9" t="s">
        <v>12</v>
      </c>
      <c r="L88" s="10"/>
    </row>
    <row r="89" spans="1:12" ht="15" customHeight="1">
      <c r="A89" s="5">
        <v>8</v>
      </c>
      <c r="B89" s="6">
        <v>44927</v>
      </c>
      <c r="C89" s="7"/>
      <c r="D89" s="7" t="s">
        <v>154</v>
      </c>
      <c r="E89" s="7"/>
      <c r="F89" s="7" t="s">
        <v>159</v>
      </c>
      <c r="G89" s="7" t="s">
        <v>117</v>
      </c>
      <c r="H89" s="7" t="str">
        <f t="shared" si="1"/>
        <v>دمج البيانات من نوبل الى نظام يامى -مسلسل-8-اسم الحساب من نوبل-عهدة مهندس علي--الرصيد الافتتاحى</v>
      </c>
      <c r="I89" s="8">
        <v>194373</v>
      </c>
      <c r="J89" s="9">
        <v>0</v>
      </c>
      <c r="K89" s="9" t="s">
        <v>12</v>
      </c>
      <c r="L89" s="10"/>
    </row>
    <row r="90" spans="1:12" ht="15" customHeight="1">
      <c r="A90" s="5">
        <v>8</v>
      </c>
      <c r="B90" s="6">
        <v>44927</v>
      </c>
      <c r="C90" s="7"/>
      <c r="D90" s="7" t="s">
        <v>154</v>
      </c>
      <c r="E90" s="7"/>
      <c r="F90" s="7" t="s">
        <v>160</v>
      </c>
      <c r="G90" s="7" t="s">
        <v>117</v>
      </c>
      <c r="H90" s="7" t="str">
        <f t="shared" si="1"/>
        <v>دمج البيانات من نوبل الى نظام يامى -مسلسل-8-اسم الحساب من نوبل-عهدة مادار--الرصيد الافتتاحى</v>
      </c>
      <c r="I90" s="9">
        <v>791</v>
      </c>
      <c r="J90" s="9">
        <v>0</v>
      </c>
      <c r="K90" s="9" t="s">
        <v>12</v>
      </c>
      <c r="L90" s="10"/>
    </row>
    <row r="91" spans="1:12" ht="15" customHeight="1">
      <c r="A91" s="5">
        <v>8</v>
      </c>
      <c r="B91" s="6">
        <v>44927</v>
      </c>
      <c r="C91" s="7"/>
      <c r="D91" s="7" t="s">
        <v>154</v>
      </c>
      <c r="E91" s="7"/>
      <c r="F91" s="7" t="s">
        <v>161</v>
      </c>
      <c r="G91" s="7" t="s">
        <v>117</v>
      </c>
      <c r="H91" s="7" t="str">
        <f t="shared" si="1"/>
        <v>دمج البيانات من نوبل الى نظام يامى -مسلسل-8-اسم الحساب من نوبل-عهدة محمد العقلة--الرصيد الافتتاحى</v>
      </c>
      <c r="I91" s="9">
        <v>0</v>
      </c>
      <c r="J91" s="8">
        <v>1805.75</v>
      </c>
      <c r="K91" s="9" t="s">
        <v>12</v>
      </c>
      <c r="L91" s="10"/>
    </row>
    <row r="92" spans="1:12" ht="15" customHeight="1">
      <c r="A92" s="5">
        <v>8</v>
      </c>
      <c r="B92" s="6">
        <v>44927</v>
      </c>
      <c r="C92" s="7"/>
      <c r="D92" s="7" t="s">
        <v>154</v>
      </c>
      <c r="E92" s="7"/>
      <c r="F92" s="7" t="s">
        <v>162</v>
      </c>
      <c r="G92" s="7" t="s">
        <v>117</v>
      </c>
      <c r="H92" s="7" t="str">
        <f t="shared" si="1"/>
        <v>دمج البيانات من نوبل الى نظام يامى -مسلسل-8-اسم الحساب من نوبل-عهدة موسي--الرصيد الافتتاحى</v>
      </c>
      <c r="I92" s="9">
        <v>0</v>
      </c>
      <c r="J92" s="9">
        <v>74.7</v>
      </c>
      <c r="K92" s="9" t="s">
        <v>12</v>
      </c>
      <c r="L92" s="10"/>
    </row>
    <row r="93" spans="1:12" ht="15" customHeight="1">
      <c r="A93" s="5">
        <v>8</v>
      </c>
      <c r="B93" s="6">
        <v>44927</v>
      </c>
      <c r="C93" s="7"/>
      <c r="D93" s="7" t="s">
        <v>163</v>
      </c>
      <c r="E93" s="7"/>
      <c r="F93" s="7" t="s">
        <v>164</v>
      </c>
      <c r="G93" s="7" t="s">
        <v>117</v>
      </c>
      <c r="H93" s="7" t="str">
        <f t="shared" si="1"/>
        <v>دمج البيانات من نوبل الى نظام يامى -مسلسل-8-اسم الحساب من نوبل-مصروفات عمومية وأدارية--الرصيد الافتتاحى</v>
      </c>
      <c r="I93" s="8">
        <v>572493</v>
      </c>
      <c r="J93" s="9">
        <v>0</v>
      </c>
      <c r="K93" s="9" t="s">
        <v>12</v>
      </c>
      <c r="L93" s="10"/>
    </row>
    <row r="94" spans="1:12" ht="15" customHeight="1">
      <c r="A94" s="5">
        <v>8</v>
      </c>
      <c r="B94" s="6">
        <v>44927</v>
      </c>
      <c r="C94" s="7"/>
      <c r="D94" s="7" t="s">
        <v>165</v>
      </c>
      <c r="E94" s="7"/>
      <c r="F94" s="7" t="s">
        <v>166</v>
      </c>
      <c r="G94" s="7" t="s">
        <v>117</v>
      </c>
      <c r="H94" s="7" t="str">
        <f t="shared" si="1"/>
        <v>دمج البيانات من نوبل الى نظام يامى -مسلسل-8-اسم الحساب من نوبل-شركة الانماء--الرصيد الافتتاحى</v>
      </c>
      <c r="I94" s="9">
        <v>0</v>
      </c>
      <c r="J94" s="8">
        <v>101410</v>
      </c>
      <c r="K94" s="9" t="s">
        <v>12</v>
      </c>
      <c r="L94" s="10"/>
    </row>
    <row r="95" spans="1:12" ht="15" customHeight="1">
      <c r="A95" s="5">
        <v>8</v>
      </c>
      <c r="B95" s="6">
        <v>44927</v>
      </c>
      <c r="C95" s="7"/>
      <c r="D95" s="7" t="s">
        <v>167</v>
      </c>
      <c r="E95" s="7"/>
      <c r="F95" s="7" t="s">
        <v>168</v>
      </c>
      <c r="G95" s="7" t="s">
        <v>117</v>
      </c>
      <c r="H95" s="7" t="str">
        <f t="shared" si="1"/>
        <v>دمج البيانات من نوبل الى نظام يامى -مسلسل-8-اسم الحساب من نوبل-كفالات الانماء--الرصيد الافتتاحى</v>
      </c>
      <c r="I95" s="9">
        <v>0</v>
      </c>
      <c r="J95" s="8">
        <v>292300</v>
      </c>
      <c r="K95" s="9" t="s">
        <v>12</v>
      </c>
      <c r="L95" s="10"/>
    </row>
    <row r="96" spans="1:12" ht="15" customHeight="1">
      <c r="A96" s="5">
        <v>8</v>
      </c>
      <c r="B96" s="6">
        <v>44927</v>
      </c>
      <c r="C96" s="7"/>
      <c r="D96" s="7" t="s">
        <v>169</v>
      </c>
      <c r="E96" s="7"/>
      <c r="F96" s="7" t="s">
        <v>170</v>
      </c>
      <c r="G96" s="7" t="s">
        <v>117</v>
      </c>
      <c r="H96" s="7" t="str">
        <f t="shared" si="1"/>
        <v>دمج البيانات من نوبل الى نظام يامى -مسلسل-8-اسم الحساب من نوبل-كفالات مدينة الدار--الرصيد الافتتاحى</v>
      </c>
      <c r="I96" s="8">
        <v>552750</v>
      </c>
      <c r="J96" s="9">
        <v>0</v>
      </c>
      <c r="K96" s="9" t="s">
        <v>12</v>
      </c>
      <c r="L96" s="10"/>
    </row>
    <row r="97" spans="1:12" ht="15" customHeight="1">
      <c r="A97" s="5">
        <v>8</v>
      </c>
      <c r="B97" s="6">
        <v>44927</v>
      </c>
      <c r="C97" s="7"/>
      <c r="D97" s="7" t="s">
        <v>171</v>
      </c>
      <c r="E97" s="7"/>
      <c r="F97" s="7" t="s">
        <v>172</v>
      </c>
      <c r="G97" s="7" t="s">
        <v>117</v>
      </c>
      <c r="H97" s="7" t="str">
        <f t="shared" si="1"/>
        <v>دمج البيانات من نوبل الى نظام يامى -مسلسل-8-اسم الحساب من نوبل-سالم المرر--الرصيد الافتتاحى</v>
      </c>
      <c r="I97" s="9">
        <v>0</v>
      </c>
      <c r="J97" s="8">
        <v>49289</v>
      </c>
      <c r="K97" s="9" t="s">
        <v>12</v>
      </c>
      <c r="L97" s="10"/>
    </row>
    <row r="98" spans="1:12" ht="15" customHeight="1">
      <c r="A98" s="5">
        <v>8</v>
      </c>
      <c r="B98" s="6">
        <v>44927</v>
      </c>
      <c r="C98" s="7"/>
      <c r="D98" s="7" t="s">
        <v>171</v>
      </c>
      <c r="E98" s="7"/>
      <c r="F98" s="7" t="s">
        <v>173</v>
      </c>
      <c r="G98" s="7" t="s">
        <v>117</v>
      </c>
      <c r="H98" s="7" t="str">
        <f t="shared" si="1"/>
        <v>دمج البيانات من نوبل الى نظام يامى -مسلسل-8-اسم الحساب من نوبل-سليمان الحمادى*لقمان--الرصيد الافتتاحى</v>
      </c>
      <c r="I98" s="9">
        <v>0</v>
      </c>
      <c r="J98" s="8">
        <v>19559.599999999999</v>
      </c>
      <c r="K98" s="9" t="s">
        <v>12</v>
      </c>
      <c r="L98" s="10"/>
    </row>
    <row r="99" spans="1:12" ht="15" customHeight="1">
      <c r="A99" s="5">
        <v>8</v>
      </c>
      <c r="B99" s="6">
        <v>44927</v>
      </c>
      <c r="C99" s="7"/>
      <c r="D99" s="7" t="s">
        <v>171</v>
      </c>
      <c r="E99" s="7"/>
      <c r="F99" s="7" t="s">
        <v>174</v>
      </c>
      <c r="G99" s="7" t="s">
        <v>117</v>
      </c>
      <c r="H99" s="7" t="str">
        <f t="shared" si="1"/>
        <v>دمج البيانات من نوبل الى نظام يامى -مسلسل-8-اسم الحساب من نوبل-عبدالله الظاهرى--الرصيد الافتتاحى</v>
      </c>
      <c r="I99" s="9">
        <v>0</v>
      </c>
      <c r="J99" s="8">
        <v>19000</v>
      </c>
      <c r="K99" s="9" t="s">
        <v>12</v>
      </c>
      <c r="L99" s="10"/>
    </row>
    <row r="100" spans="1:12" ht="15" customHeight="1">
      <c r="A100" s="5">
        <v>8</v>
      </c>
      <c r="B100" s="6">
        <v>44927</v>
      </c>
      <c r="C100" s="7"/>
      <c r="D100" s="7" t="s">
        <v>171</v>
      </c>
      <c r="E100" s="7"/>
      <c r="F100" s="7" t="s">
        <v>175</v>
      </c>
      <c r="G100" s="7" t="s">
        <v>117</v>
      </c>
      <c r="H100" s="7" t="str">
        <f t="shared" si="1"/>
        <v>دمج البيانات من نوبل الى نظام يامى -مسلسل-8-اسم الحساب من نوبل-محمد حمد سيف--الرصيد الافتتاحى</v>
      </c>
      <c r="I100" s="9">
        <v>0</v>
      </c>
      <c r="J100" s="8">
        <v>1762</v>
      </c>
      <c r="K100" s="9" t="s">
        <v>12</v>
      </c>
      <c r="L100" s="10"/>
    </row>
    <row r="101" spans="1:12" ht="15" customHeight="1">
      <c r="A101" s="5">
        <v>8</v>
      </c>
      <c r="B101" s="6">
        <v>44927</v>
      </c>
      <c r="C101" s="7"/>
      <c r="D101" s="11" t="s">
        <v>176</v>
      </c>
      <c r="E101" s="7"/>
      <c r="F101" s="7" t="s">
        <v>177</v>
      </c>
      <c r="G101" s="7" t="s">
        <v>117</v>
      </c>
      <c r="H101" s="7" t="str">
        <f t="shared" si="1"/>
        <v>دمج البيانات من نوبل الى نظام يامى -مسلسل-8-اسم الحساب من نوبل-FTA--الرصيد الافتتاحى</v>
      </c>
      <c r="I101" s="9">
        <v>0</v>
      </c>
      <c r="J101" s="8">
        <v>130159.7</v>
      </c>
      <c r="K101" s="9" t="s">
        <v>12</v>
      </c>
      <c r="L101" s="10"/>
    </row>
    <row r="102" spans="1:12" ht="15" customHeight="1">
      <c r="A102" s="5">
        <v>8</v>
      </c>
      <c r="B102" s="6">
        <v>44927</v>
      </c>
      <c r="C102" s="7"/>
      <c r="D102" s="7" t="s">
        <v>107</v>
      </c>
      <c r="E102" s="7"/>
      <c r="F102" s="7" t="s">
        <v>178</v>
      </c>
      <c r="G102" s="7" t="s">
        <v>117</v>
      </c>
      <c r="H102" s="7" t="str">
        <f t="shared" si="1"/>
        <v>دمج البيانات من نوبل الى نظام يامى -مسلسل-8-اسم الحساب من نوبل-Contra Account--الرصيد الافتتاحى</v>
      </c>
      <c r="I102" s="9">
        <v>0</v>
      </c>
      <c r="J102" s="8">
        <v>1709531.28</v>
      </c>
      <c r="K102" s="9" t="s">
        <v>12</v>
      </c>
      <c r="L102" s="10"/>
    </row>
    <row r="103" spans="1:12" ht="15" customHeight="1">
      <c r="A103" s="5">
        <v>8</v>
      </c>
      <c r="B103" s="6">
        <v>44927</v>
      </c>
      <c r="C103" s="7"/>
      <c r="D103" s="7" t="s">
        <v>179</v>
      </c>
      <c r="E103" s="7"/>
      <c r="F103" s="7" t="s">
        <v>180</v>
      </c>
      <c r="G103" s="7" t="s">
        <v>117</v>
      </c>
      <c r="H103" s="7" t="str">
        <f t="shared" si="1"/>
        <v>دمج البيانات من نوبل الى نظام يامى -مسلسل-8-اسم الحساب من نوبل-Staff Accrued Salaries--الرصيد الافتتاحى</v>
      </c>
      <c r="I103" s="9">
        <v>0</v>
      </c>
      <c r="J103" s="8">
        <v>83360</v>
      </c>
      <c r="K103" s="9" t="s">
        <v>12</v>
      </c>
      <c r="L103" s="10"/>
    </row>
    <row r="104" spans="1:12" ht="15" customHeight="1">
      <c r="A104" s="5">
        <v>8</v>
      </c>
      <c r="B104" s="6">
        <v>44927</v>
      </c>
      <c r="C104" s="7"/>
      <c r="D104" s="7" t="s">
        <v>181</v>
      </c>
      <c r="E104" s="7"/>
      <c r="F104" s="7" t="s">
        <v>182</v>
      </c>
      <c r="G104" s="7" t="s">
        <v>117</v>
      </c>
      <c r="H104" s="7" t="str">
        <f t="shared" si="1"/>
        <v>دمج البيانات من نوبل الى نظام يامى -مسلسل-8-اسم الحساب من نوبل-Insurance-vehicles--الرصيد الافتتاحى</v>
      </c>
      <c r="I104" s="9">
        <v>0</v>
      </c>
      <c r="J104" s="8">
        <v>2000</v>
      </c>
      <c r="K104" s="9" t="s">
        <v>12</v>
      </c>
      <c r="L104" s="10"/>
    </row>
    <row r="105" spans="1:12" ht="15" customHeight="1">
      <c r="A105" s="5">
        <v>8</v>
      </c>
      <c r="B105" s="6">
        <v>44927</v>
      </c>
      <c r="C105" s="7"/>
      <c r="D105" s="7" t="s">
        <v>183</v>
      </c>
      <c r="E105" s="7"/>
      <c r="F105" s="7" t="s">
        <v>184</v>
      </c>
      <c r="G105" s="7" t="s">
        <v>117</v>
      </c>
      <c r="H105" s="7" t="str">
        <f t="shared" si="1"/>
        <v>دمج البيانات من نوبل الى نظام يامى -مسلسل-8-اسم الحساب من نوبل-تأمين مياه وكهرباء احمد الحمادى--الرصيد الافتتاحى</v>
      </c>
      <c r="I105" s="8">
        <v>10000</v>
      </c>
      <c r="J105" s="9">
        <v>0</v>
      </c>
      <c r="K105" s="9" t="s">
        <v>12</v>
      </c>
      <c r="L105" s="10"/>
    </row>
    <row r="106" spans="1:12" ht="15" customHeight="1">
      <c r="A106" s="5">
        <v>8</v>
      </c>
      <c r="B106" s="6">
        <v>44927</v>
      </c>
      <c r="C106" s="7"/>
      <c r="D106" s="7" t="s">
        <v>183</v>
      </c>
      <c r="E106" s="7"/>
      <c r="F106" s="7" t="s">
        <v>185</v>
      </c>
      <c r="G106" s="7" t="s">
        <v>117</v>
      </c>
      <c r="H106" s="7" t="str">
        <f t="shared" si="1"/>
        <v>دمج البيانات من نوبل الى نظام يامى -مسلسل-8-اسم الحساب من نوبل-تأمين مياه وكهرباء احمد الماس المرر--الرصيد الافتتاحى</v>
      </c>
      <c r="I106" s="8">
        <v>10000</v>
      </c>
      <c r="J106" s="9">
        <v>0</v>
      </c>
      <c r="K106" s="9" t="s">
        <v>12</v>
      </c>
      <c r="L106" s="10"/>
    </row>
    <row r="107" spans="1:12" ht="15" customHeight="1">
      <c r="A107" s="5">
        <v>8</v>
      </c>
      <c r="B107" s="6">
        <v>44927</v>
      </c>
      <c r="C107" s="7"/>
      <c r="D107" s="7" t="s">
        <v>183</v>
      </c>
      <c r="E107" s="7"/>
      <c r="F107" s="7" t="s">
        <v>186</v>
      </c>
      <c r="G107" s="7" t="s">
        <v>117</v>
      </c>
      <c r="H107" s="7" t="str">
        <f t="shared" si="1"/>
        <v>دمج البيانات من نوبل الى نظام يامى -مسلسل-8-اسم الحساب من نوبل-تأمين مياه وكهرباء ايمان الحمادى--الرصيد الافتتاحى</v>
      </c>
      <c r="I107" s="8">
        <v>10000</v>
      </c>
      <c r="J107" s="9">
        <v>0</v>
      </c>
      <c r="K107" s="9" t="s">
        <v>12</v>
      </c>
      <c r="L107" s="10"/>
    </row>
    <row r="108" spans="1:12" ht="15" customHeight="1">
      <c r="A108" s="5">
        <v>8</v>
      </c>
      <c r="B108" s="6">
        <v>44927</v>
      </c>
      <c r="C108" s="7"/>
      <c r="D108" s="7" t="s">
        <v>183</v>
      </c>
      <c r="E108" s="7"/>
      <c r="F108" s="7" t="s">
        <v>187</v>
      </c>
      <c r="G108" s="7" t="s">
        <v>117</v>
      </c>
      <c r="H108" s="7" t="str">
        <f t="shared" si="1"/>
        <v>دمج البيانات من نوبل الى نظام يامى -مسلسل-8-اسم الحساب من نوبل-تأمين مياه وكهرباء سيف الهاملى--الرصيد الافتتاحى</v>
      </c>
      <c r="I108" s="8">
        <v>17562</v>
      </c>
      <c r="J108" s="9">
        <v>0</v>
      </c>
      <c r="K108" s="9" t="s">
        <v>12</v>
      </c>
      <c r="L108" s="10"/>
    </row>
    <row r="109" spans="1:12" ht="15" customHeight="1">
      <c r="A109" s="5">
        <v>8</v>
      </c>
      <c r="B109" s="6">
        <v>44927</v>
      </c>
      <c r="C109" s="7"/>
      <c r="D109" s="7" t="s">
        <v>183</v>
      </c>
      <c r="E109" s="7"/>
      <c r="F109" s="7" t="s">
        <v>188</v>
      </c>
      <c r="G109" s="7" t="s">
        <v>117</v>
      </c>
      <c r="H109" s="7" t="str">
        <f t="shared" si="1"/>
        <v>دمج البيانات من نوبل الى نظام يامى -مسلسل-8-اسم الحساب من نوبل-تأمين مياه وكهرباء عبدالله الظاهرى--الرصيد الافتتاحى</v>
      </c>
      <c r="I109" s="8">
        <v>10000</v>
      </c>
      <c r="J109" s="9">
        <v>0</v>
      </c>
      <c r="K109" s="9" t="s">
        <v>12</v>
      </c>
      <c r="L109" s="10"/>
    </row>
    <row r="110" spans="1:12" ht="15" customHeight="1">
      <c r="A110" s="5">
        <v>8</v>
      </c>
      <c r="B110" s="6">
        <v>44927</v>
      </c>
      <c r="C110" s="7"/>
      <c r="D110" s="7" t="s">
        <v>183</v>
      </c>
      <c r="E110" s="7"/>
      <c r="F110" s="7" t="s">
        <v>189</v>
      </c>
      <c r="G110" s="7" t="s">
        <v>117</v>
      </c>
      <c r="H110" s="7" t="str">
        <f t="shared" si="1"/>
        <v>دمج البيانات من نوبل الى نظام يامى -مسلسل-8-اسم الحساب من نوبل-تأمين مياه وكهرباء عفراء المزروعى--الرصيد الافتتاحى</v>
      </c>
      <c r="I110" s="8">
        <v>10000</v>
      </c>
      <c r="J110" s="9">
        <v>0</v>
      </c>
      <c r="K110" s="9" t="s">
        <v>12</v>
      </c>
      <c r="L110" s="10"/>
    </row>
    <row r="111" spans="1:12" ht="15" customHeight="1">
      <c r="A111" s="5">
        <v>8</v>
      </c>
      <c r="B111" s="6">
        <v>44927</v>
      </c>
      <c r="C111" s="7"/>
      <c r="D111" s="7" t="s">
        <v>183</v>
      </c>
      <c r="E111" s="7"/>
      <c r="F111" s="7" t="s">
        <v>190</v>
      </c>
      <c r="G111" s="7" t="s">
        <v>117</v>
      </c>
      <c r="H111" s="7" t="str">
        <f t="shared" si="1"/>
        <v>دمج البيانات من نوبل الى نظام يامى -مسلسل-8-اسم الحساب من نوبل-تأمين مياه وكهرباء موسى المزروعى--الرصيد الافتتاحى</v>
      </c>
      <c r="I111" s="8">
        <v>20000</v>
      </c>
      <c r="J111" s="9">
        <v>0</v>
      </c>
      <c r="K111" s="9" t="s">
        <v>12</v>
      </c>
      <c r="L111" s="10"/>
    </row>
    <row r="112" spans="1:12" ht="15" customHeight="1">
      <c r="A112" s="5">
        <v>8</v>
      </c>
      <c r="B112" s="6">
        <v>44927</v>
      </c>
      <c r="C112" s="7"/>
      <c r="D112" s="7" t="s">
        <v>183</v>
      </c>
      <c r="E112" s="7"/>
      <c r="F112" s="7" t="s">
        <v>191</v>
      </c>
      <c r="G112" s="7" t="s">
        <v>117</v>
      </c>
      <c r="H112" s="7" t="str">
        <f t="shared" si="1"/>
        <v>دمج البيانات من نوبل الى نظام يامى -مسلسل-8-اسم الحساب من نوبل-تأمين مياه وكهرباء مؤسسة المزروعى--الرصيد الافتتاحى</v>
      </c>
      <c r="I112" s="8">
        <v>10000</v>
      </c>
      <c r="J112" s="9">
        <v>0</v>
      </c>
      <c r="K112" s="9" t="s">
        <v>12</v>
      </c>
      <c r="L112" s="10"/>
    </row>
    <row r="113" spans="1:12" ht="15" customHeight="1">
      <c r="A113" s="5">
        <v>8</v>
      </c>
      <c r="B113" s="6">
        <v>44927</v>
      </c>
      <c r="C113" s="7"/>
      <c r="D113" s="7" t="s">
        <v>183</v>
      </c>
      <c r="E113" s="7"/>
      <c r="F113" s="7" t="s">
        <v>192</v>
      </c>
      <c r="G113" s="7" t="s">
        <v>117</v>
      </c>
      <c r="H113" s="7" t="str">
        <f t="shared" si="1"/>
        <v>دمج البيانات من نوبل الى نظام يامى -مسلسل-8-اسم الحساب من نوبل-تأمين مياه وكهرباء هلال سويح--الرصيد الافتتاحى</v>
      </c>
      <c r="I113" s="8">
        <v>10000</v>
      </c>
      <c r="J113" s="9">
        <v>0</v>
      </c>
      <c r="K113" s="9" t="s">
        <v>12</v>
      </c>
      <c r="L113" s="10"/>
    </row>
    <row r="114" spans="1:12" ht="15" customHeight="1">
      <c r="A114" s="5">
        <v>8</v>
      </c>
      <c r="B114" s="6">
        <v>44927</v>
      </c>
      <c r="C114" s="7"/>
      <c r="D114" s="7" t="s">
        <v>154</v>
      </c>
      <c r="E114" s="7"/>
      <c r="F114" s="7" t="s">
        <v>193</v>
      </c>
      <c r="G114" s="7" t="s">
        <v>117</v>
      </c>
      <c r="H114" s="7" t="str">
        <f t="shared" si="1"/>
        <v>دمج البيانات من نوبل الى نظام يامى -مسلسل-8-اسم الحساب من نوبل-عهدة م على (راتب)--الرصيد الافتتاحى</v>
      </c>
      <c r="I114" s="8">
        <v>1297000</v>
      </c>
      <c r="J114" s="9">
        <v>0</v>
      </c>
      <c r="K114" s="9" t="s">
        <v>12</v>
      </c>
      <c r="L114" s="10"/>
    </row>
    <row r="115" spans="1:12" ht="15" customHeight="1">
      <c r="A115" s="5">
        <v>8</v>
      </c>
      <c r="B115" s="6">
        <v>44927</v>
      </c>
      <c r="C115" s="7"/>
      <c r="D115" s="7" t="s">
        <v>179</v>
      </c>
      <c r="E115" s="7"/>
      <c r="F115" s="7" t="s">
        <v>194</v>
      </c>
      <c r="G115" s="7" t="s">
        <v>117</v>
      </c>
      <c r="H115" s="7" t="str">
        <f t="shared" si="1"/>
        <v>دمج البيانات من نوبل الى نظام يامى -مسلسل-8-اسم الحساب من نوبل-اضافى عمال مستحق--الرصيد الافتتاحى</v>
      </c>
      <c r="I115" s="9">
        <v>0</v>
      </c>
      <c r="J115" s="8">
        <v>29045</v>
      </c>
      <c r="K115" s="9" t="s">
        <v>12</v>
      </c>
      <c r="L115" s="10"/>
    </row>
    <row r="116" spans="1:12" ht="15" customHeight="1">
      <c r="A116" s="5">
        <v>1461</v>
      </c>
      <c r="B116" s="6">
        <v>44927</v>
      </c>
      <c r="C116" s="7"/>
      <c r="D116" s="7" t="s">
        <v>132</v>
      </c>
      <c r="E116" s="7"/>
      <c r="F116" s="7" t="s">
        <v>195</v>
      </c>
      <c r="G116" s="7" t="s">
        <v>196</v>
      </c>
      <c r="H116" s="7" t="str">
        <f t="shared" si="1"/>
        <v>دمج البيانات من نوبل الى نظام يامى -مسلسل-1461-اسم الحساب من نوبل-سلفة عمران خان--رقم سند الدفع : 1280 - الرصيد الافتتاحى</v>
      </c>
      <c r="I116" s="8">
        <v>3000</v>
      </c>
      <c r="J116" s="9">
        <v>0</v>
      </c>
      <c r="K116" s="9" t="s">
        <v>197</v>
      </c>
      <c r="L116" s="10"/>
    </row>
    <row r="117" spans="1:12" ht="15" customHeight="1">
      <c r="A117" s="5">
        <v>1461</v>
      </c>
      <c r="B117" s="6">
        <v>44927</v>
      </c>
      <c r="C117" s="7"/>
      <c r="D117" s="7" t="s">
        <v>107</v>
      </c>
      <c r="E117" s="7"/>
      <c r="F117" s="7" t="s">
        <v>198</v>
      </c>
      <c r="G117" s="7" t="s">
        <v>196</v>
      </c>
      <c r="H117" s="7" t="str">
        <f t="shared" si="1"/>
        <v>دمج البيانات من نوبل الى نظام يامى -مسلسل-1461-اسم الحساب من نوبل-Contra Account--رقم سند الدفع : 1280 - الرصيد الافتتاحى</v>
      </c>
      <c r="I117" s="9">
        <v>0</v>
      </c>
      <c r="J117" s="8">
        <v>3000</v>
      </c>
      <c r="K117" s="9" t="s">
        <v>197</v>
      </c>
      <c r="L117" s="10"/>
    </row>
    <row r="118" spans="1:12" ht="15" customHeight="1">
      <c r="A118" s="5">
        <v>2465</v>
      </c>
      <c r="B118" s="6">
        <v>44927</v>
      </c>
      <c r="C118" s="7"/>
      <c r="D118" s="7" t="s">
        <v>199</v>
      </c>
      <c r="E118" s="7"/>
      <c r="F118" s="7" t="s">
        <v>200</v>
      </c>
      <c r="G118" s="7" t="s">
        <v>117</v>
      </c>
      <c r="H118" s="7" t="str">
        <f t="shared" si="1"/>
        <v>دمج البيانات من نوبل الى نظام يامى -مسلسل-2465-اسم الحساب من نوبل-فيلا محمد عبدالله الحمادى Retention--الرصيد الافتتاحى</v>
      </c>
      <c r="I118" s="8">
        <v>138462</v>
      </c>
      <c r="J118" s="9">
        <v>0</v>
      </c>
      <c r="K118" s="9" t="s">
        <v>12</v>
      </c>
      <c r="L118" s="10"/>
    </row>
    <row r="119" spans="1:12" ht="15" customHeight="1">
      <c r="A119" s="5">
        <v>2465</v>
      </c>
      <c r="B119" s="6">
        <v>44927</v>
      </c>
      <c r="C119" s="7"/>
      <c r="D119" s="7" t="s">
        <v>199</v>
      </c>
      <c r="E119" s="7"/>
      <c r="F119" s="7" t="s">
        <v>201</v>
      </c>
      <c r="G119" s="7" t="s">
        <v>117</v>
      </c>
      <c r="H119" s="7" t="str">
        <f t="shared" si="1"/>
        <v>دمج البيانات من نوبل الى نظام يامى -مسلسل-2465-اسم الحساب من نوبل-فيلا عفراء المزروعى Retention--الرصيد الافتتاحى</v>
      </c>
      <c r="I119" s="8">
        <v>90385</v>
      </c>
      <c r="J119" s="9">
        <v>0</v>
      </c>
      <c r="K119" s="9" t="s">
        <v>12</v>
      </c>
      <c r="L119" s="10"/>
    </row>
    <row r="120" spans="1:12" ht="15" customHeight="1">
      <c r="A120" s="5">
        <v>2465</v>
      </c>
      <c r="B120" s="6">
        <v>44927</v>
      </c>
      <c r="C120" s="7"/>
      <c r="D120" s="7" t="s">
        <v>199</v>
      </c>
      <c r="E120" s="7"/>
      <c r="F120" s="7" t="s">
        <v>202</v>
      </c>
      <c r="G120" s="7" t="s">
        <v>117</v>
      </c>
      <c r="H120" s="7" t="str">
        <f t="shared" si="1"/>
        <v>دمج البيانات من نوبل الى نظام يامى -مسلسل-2465-اسم الحساب من نوبل-فيلا عبدالله الظاهرى Retention--الرصيد الافتتاحى</v>
      </c>
      <c r="I120" s="8">
        <v>125000</v>
      </c>
      <c r="J120" s="9">
        <v>0</v>
      </c>
      <c r="K120" s="9" t="s">
        <v>12</v>
      </c>
      <c r="L120" s="10"/>
    </row>
    <row r="121" spans="1:12" ht="15" customHeight="1">
      <c r="A121" s="5">
        <v>2465</v>
      </c>
      <c r="B121" s="6">
        <v>44927</v>
      </c>
      <c r="C121" s="7"/>
      <c r="D121" s="7" t="s">
        <v>199</v>
      </c>
      <c r="E121" s="7"/>
      <c r="F121" s="7" t="s">
        <v>203</v>
      </c>
      <c r="G121" s="7" t="s">
        <v>117</v>
      </c>
      <c r="H121" s="7" t="str">
        <f t="shared" si="1"/>
        <v>دمج البيانات من نوبل الى نظام يامى -مسلسل-2465-اسم الحساب من نوبل-فيلا احمد بخيت الهاملى Retention--الرصيد الافتتاحى</v>
      </c>
      <c r="I121" s="8">
        <v>163462</v>
      </c>
      <c r="J121" s="9">
        <v>0</v>
      </c>
      <c r="K121" s="9" t="s">
        <v>12</v>
      </c>
      <c r="L121" s="10"/>
    </row>
    <row r="122" spans="1:12" ht="15" customHeight="1">
      <c r="A122" s="5">
        <v>2465</v>
      </c>
      <c r="B122" s="6">
        <v>44927</v>
      </c>
      <c r="C122" s="7"/>
      <c r="D122" s="7" t="s">
        <v>199</v>
      </c>
      <c r="E122" s="7"/>
      <c r="F122" s="7" t="s">
        <v>204</v>
      </c>
      <c r="G122" s="7" t="s">
        <v>117</v>
      </c>
      <c r="H122" s="7" t="str">
        <f t="shared" si="1"/>
        <v>دمج البيانات من نوبل الى نظام يامى -مسلسل-2465-اسم الحساب من نوبل-فيلا احمد بلكور المزروعى Retention--الرصيد الافتتاحى</v>
      </c>
      <c r="I122" s="8">
        <v>125000</v>
      </c>
      <c r="J122" s="9">
        <v>0</v>
      </c>
      <c r="K122" s="9" t="s">
        <v>12</v>
      </c>
      <c r="L122" s="10"/>
    </row>
    <row r="123" spans="1:12" ht="15" customHeight="1">
      <c r="A123" s="5">
        <v>2465</v>
      </c>
      <c r="B123" s="6">
        <v>44927</v>
      </c>
      <c r="C123" s="7"/>
      <c r="D123" s="7" t="s">
        <v>199</v>
      </c>
      <c r="E123" s="7"/>
      <c r="F123" s="7" t="s">
        <v>205</v>
      </c>
      <c r="G123" s="7" t="s">
        <v>117</v>
      </c>
      <c r="H123" s="7" t="str">
        <f t="shared" si="1"/>
        <v>دمج البيانات من نوبل الى نظام يامى -مسلسل-2465-اسم الحساب من نوبل-فيلا عبدالله سلطان الحمادى Retention--الرصيد الافتتاحى</v>
      </c>
      <c r="I123" s="8">
        <v>60096</v>
      </c>
      <c r="J123" s="9">
        <v>0</v>
      </c>
      <c r="K123" s="9" t="s">
        <v>12</v>
      </c>
      <c r="L123" s="10"/>
    </row>
    <row r="124" spans="1:12" ht="15" customHeight="1">
      <c r="A124" s="5">
        <v>2465</v>
      </c>
      <c r="B124" s="6">
        <v>44927</v>
      </c>
      <c r="C124" s="7"/>
      <c r="D124" s="7" t="s">
        <v>199</v>
      </c>
      <c r="E124" s="7"/>
      <c r="F124" s="7" t="s">
        <v>206</v>
      </c>
      <c r="G124" s="7" t="s">
        <v>117</v>
      </c>
      <c r="H124" s="7" t="str">
        <f t="shared" si="1"/>
        <v>دمج البيانات من نوبل الى نظام يامى -مسلسل-2465-اسم الحساب من نوبل-فيلا سالمين المزروعى Retention--الرصيد الافتتاحى</v>
      </c>
      <c r="I124" s="8">
        <v>96154</v>
      </c>
      <c r="J124" s="9">
        <v>0</v>
      </c>
      <c r="K124" s="9" t="s">
        <v>12</v>
      </c>
      <c r="L124" s="10"/>
    </row>
    <row r="125" spans="1:12" ht="15" customHeight="1">
      <c r="A125" s="5">
        <v>2465</v>
      </c>
      <c r="B125" s="6">
        <v>44927</v>
      </c>
      <c r="C125" s="7"/>
      <c r="D125" s="7" t="s">
        <v>199</v>
      </c>
      <c r="E125" s="7"/>
      <c r="F125" s="7" t="s">
        <v>207</v>
      </c>
      <c r="G125" s="7" t="s">
        <v>117</v>
      </c>
      <c r="H125" s="7" t="str">
        <f t="shared" si="1"/>
        <v>دمج البيانات من نوبل الى نظام يامى -مسلسل-2465-اسم الحساب من نوبل-فيلا سالم راشد المنصورى Retention--الرصيد الافتتاحى</v>
      </c>
      <c r="I125" s="8">
        <v>66154</v>
      </c>
      <c r="J125" s="9">
        <v>0</v>
      </c>
      <c r="K125" s="9" t="s">
        <v>12</v>
      </c>
      <c r="L125" s="10"/>
    </row>
    <row r="126" spans="1:12" ht="15" customHeight="1">
      <c r="A126" s="5">
        <v>2465</v>
      </c>
      <c r="B126" s="6">
        <v>44927</v>
      </c>
      <c r="C126" s="7"/>
      <c r="D126" s="7" t="s">
        <v>199</v>
      </c>
      <c r="E126" s="7"/>
      <c r="F126" s="7" t="s">
        <v>208</v>
      </c>
      <c r="G126" s="7" t="s">
        <v>117</v>
      </c>
      <c r="H126" s="7" t="str">
        <f t="shared" si="1"/>
        <v>دمج البيانات من نوبل الى نظام يامى -مسلسل-2465-اسم الحساب من نوبل-فيلا محمد مرشد المرر Retention--الرصيد الافتتاحى</v>
      </c>
      <c r="I126" s="8">
        <v>96154</v>
      </c>
      <c r="J126" s="9">
        <v>0</v>
      </c>
      <c r="K126" s="9" t="s">
        <v>12</v>
      </c>
      <c r="L126" s="10"/>
    </row>
    <row r="127" spans="1:12" ht="15" customHeight="1">
      <c r="A127" s="5">
        <v>2465</v>
      </c>
      <c r="B127" s="6">
        <v>44927</v>
      </c>
      <c r="C127" s="7"/>
      <c r="D127" s="7" t="s">
        <v>199</v>
      </c>
      <c r="E127" s="7"/>
      <c r="F127" s="7" t="s">
        <v>209</v>
      </c>
      <c r="G127" s="7" t="s">
        <v>117</v>
      </c>
      <c r="H127" s="7" t="str">
        <f t="shared" si="1"/>
        <v>دمج البيانات من نوبل الى نظام يامى -مسلسل-2465-اسم الحساب من نوبل-فيلا راشد صميم المنصورى Retention--الرصيد الافتتاحى</v>
      </c>
      <c r="I127" s="8">
        <v>130000</v>
      </c>
      <c r="J127" s="9">
        <v>0</v>
      </c>
      <c r="K127" s="9" t="s">
        <v>12</v>
      </c>
      <c r="L127" s="10"/>
    </row>
    <row r="128" spans="1:12" ht="15" customHeight="1">
      <c r="A128" s="5">
        <v>2465</v>
      </c>
      <c r="B128" s="6">
        <v>44927</v>
      </c>
      <c r="C128" s="7"/>
      <c r="D128" s="7" t="s">
        <v>199</v>
      </c>
      <c r="E128" s="7"/>
      <c r="F128" s="7" t="s">
        <v>210</v>
      </c>
      <c r="G128" s="7" t="s">
        <v>117</v>
      </c>
      <c r="H128" s="7" t="str">
        <f t="shared" si="1"/>
        <v>دمج البيانات من نوبل الى نظام يامى -مسلسل-2465-اسم الحساب من نوبل-فيلا هلال سويح Retention--الرصيد الافتتاحى</v>
      </c>
      <c r="I128" s="8">
        <v>67961</v>
      </c>
      <c r="J128" s="9">
        <v>0</v>
      </c>
      <c r="K128" s="9" t="s">
        <v>12</v>
      </c>
      <c r="L128" s="10"/>
    </row>
    <row r="129" spans="1:12" ht="15" customHeight="1">
      <c r="A129" s="5">
        <v>2465</v>
      </c>
      <c r="B129" s="6">
        <v>44927</v>
      </c>
      <c r="C129" s="7"/>
      <c r="D129" s="7" t="s">
        <v>199</v>
      </c>
      <c r="E129" s="7"/>
      <c r="F129" s="7" t="s">
        <v>211</v>
      </c>
      <c r="G129" s="7" t="s">
        <v>117</v>
      </c>
      <c r="H129" s="7" t="str">
        <f t="shared" si="1"/>
        <v>دمج البيانات من نوبل الى نظام يامى -مسلسل-2465-اسم الحساب من نوبل-فيلا احمد الحمادى Retention--الرصيد الافتتاحى</v>
      </c>
      <c r="I129" s="8">
        <v>140385</v>
      </c>
      <c r="J129" s="9">
        <v>0</v>
      </c>
      <c r="K129" s="9" t="s">
        <v>12</v>
      </c>
      <c r="L129" s="10"/>
    </row>
    <row r="130" spans="1:12" ht="15" customHeight="1">
      <c r="A130" s="5">
        <v>2465</v>
      </c>
      <c r="B130" s="6">
        <v>44927</v>
      </c>
      <c r="C130" s="7"/>
      <c r="D130" s="7" t="s">
        <v>199</v>
      </c>
      <c r="E130" s="7"/>
      <c r="F130" s="7" t="s">
        <v>201</v>
      </c>
      <c r="G130" s="7" t="s">
        <v>117</v>
      </c>
      <c r="H130" s="7" t="str">
        <f t="shared" si="1"/>
        <v>دمج البيانات من نوبل الى نظام يامى -مسلسل-2465-اسم الحساب من نوبل-فيلا عفراء المزروعى Retention--الرصيد الافتتاحى</v>
      </c>
      <c r="I130" s="8">
        <v>115387</v>
      </c>
      <c r="J130" s="9">
        <v>0</v>
      </c>
      <c r="K130" s="9" t="s">
        <v>12</v>
      </c>
      <c r="L130" s="10"/>
    </row>
    <row r="131" spans="1:12" ht="15" customHeight="1">
      <c r="A131" s="5">
        <v>2465</v>
      </c>
      <c r="B131" s="6">
        <v>44927</v>
      </c>
      <c r="C131" s="7"/>
      <c r="D131" s="7" t="s">
        <v>199</v>
      </c>
      <c r="E131" s="7"/>
      <c r="F131" s="7" t="s">
        <v>212</v>
      </c>
      <c r="G131" s="7" t="s">
        <v>117</v>
      </c>
      <c r="H131" s="7" t="str">
        <f t="shared" si="1"/>
        <v>دمج البيانات من نوبل الى نظام يامى -مسلسل-2465-اسم الحساب من نوبل-فيلا سيف الهاملي مدينة زايد Retention--الرصيد الافتتاحى</v>
      </c>
      <c r="I131" s="8">
        <v>144231</v>
      </c>
      <c r="J131" s="9">
        <v>0</v>
      </c>
      <c r="K131" s="9" t="s">
        <v>12</v>
      </c>
      <c r="L131" s="10"/>
    </row>
    <row r="132" spans="1:12" ht="15" customHeight="1">
      <c r="A132" s="5">
        <v>2465</v>
      </c>
      <c r="B132" s="6">
        <v>44927</v>
      </c>
      <c r="C132" s="7"/>
      <c r="D132" s="7" t="s">
        <v>199</v>
      </c>
      <c r="E132" s="7"/>
      <c r="F132" s="7" t="s">
        <v>213</v>
      </c>
      <c r="G132" s="7" t="s">
        <v>117</v>
      </c>
      <c r="H132" s="7" t="str">
        <f t="shared" ref="H132:H155" si="2">CONCATENATE(F132,"-",G132)</f>
        <v>دمج البيانات من نوبل الى نظام يامى -مسلسل-2465-اسم الحساب من نوبل-فيلا عبيد الهاملى Retention--الرصيد الافتتاحى</v>
      </c>
      <c r="I132" s="8">
        <v>57692</v>
      </c>
      <c r="J132" s="9">
        <v>0</v>
      </c>
      <c r="K132" s="9" t="s">
        <v>12</v>
      </c>
      <c r="L132" s="10"/>
    </row>
    <row r="133" spans="1:12" ht="15" customHeight="1">
      <c r="A133" s="5">
        <v>2465</v>
      </c>
      <c r="B133" s="6">
        <v>44927</v>
      </c>
      <c r="C133" s="7"/>
      <c r="D133" s="7" t="s">
        <v>199</v>
      </c>
      <c r="E133" s="7"/>
      <c r="F133" s="7" t="s">
        <v>214</v>
      </c>
      <c r="G133" s="7" t="s">
        <v>117</v>
      </c>
      <c r="H133" s="7" t="str">
        <f t="shared" si="2"/>
        <v>دمج البيانات من نوبل الى نظام يامى -مسلسل-2465-اسم الحساب من نوبل-فيلا محمد راشد المنصورى Retention--الرصيد الافتتاحى</v>
      </c>
      <c r="I133" s="8">
        <v>100000</v>
      </c>
      <c r="J133" s="9">
        <v>0</v>
      </c>
      <c r="K133" s="9" t="s">
        <v>12</v>
      </c>
      <c r="L133" s="10"/>
    </row>
    <row r="134" spans="1:12" ht="15" customHeight="1">
      <c r="A134" s="5">
        <v>2465</v>
      </c>
      <c r="B134" s="6">
        <v>44927</v>
      </c>
      <c r="C134" s="7"/>
      <c r="D134" s="7" t="s">
        <v>199</v>
      </c>
      <c r="E134" s="7"/>
      <c r="F134" s="7" t="s">
        <v>215</v>
      </c>
      <c r="G134" s="7" t="s">
        <v>117</v>
      </c>
      <c r="H134" s="7" t="str">
        <f t="shared" si="2"/>
        <v>دمج البيانات من نوبل الى نظام يامى -مسلسل-2465-اسم الحساب من نوبل-فيلا احمد المهيري المزروعي Retention--الرصيد الافتتاحى</v>
      </c>
      <c r="I134" s="8">
        <v>109615</v>
      </c>
      <c r="J134" s="9">
        <v>0</v>
      </c>
      <c r="K134" s="9" t="s">
        <v>12</v>
      </c>
      <c r="L134" s="10"/>
    </row>
    <row r="135" spans="1:12" ht="15" customHeight="1">
      <c r="A135" s="5">
        <v>2465</v>
      </c>
      <c r="B135" s="6">
        <v>44927</v>
      </c>
      <c r="C135" s="7"/>
      <c r="D135" s="7" t="s">
        <v>199</v>
      </c>
      <c r="E135" s="7"/>
      <c r="F135" s="7" t="s">
        <v>216</v>
      </c>
      <c r="G135" s="7" t="s">
        <v>117</v>
      </c>
      <c r="H135" s="7" t="str">
        <f t="shared" si="2"/>
        <v>دمج البيانات من نوبل الى نظام يامى -مسلسل-2465-اسم الحساب من نوبل-فيلا على احمد المحرمى Retention--الرصيد الافتتاحى</v>
      </c>
      <c r="I135" s="8">
        <v>96154</v>
      </c>
      <c r="J135" s="9">
        <v>0</v>
      </c>
      <c r="K135" s="9" t="s">
        <v>12</v>
      </c>
      <c r="L135" s="10"/>
    </row>
    <row r="136" spans="1:12" ht="15" customHeight="1">
      <c r="A136" s="5">
        <v>2465</v>
      </c>
      <c r="B136" s="6">
        <v>44927</v>
      </c>
      <c r="C136" s="7"/>
      <c r="D136" s="7" t="s">
        <v>199</v>
      </c>
      <c r="E136" s="7"/>
      <c r="F136" s="7" t="s">
        <v>217</v>
      </c>
      <c r="G136" s="7" t="s">
        <v>117</v>
      </c>
      <c r="H136" s="7" t="str">
        <f t="shared" si="2"/>
        <v>دمج البيانات من نوبل الى نظام يامى -مسلسل-2465-اسم الحساب من نوبل-فيلا محمد بخيت المزروعى Retention--الرصيد الافتتاحى</v>
      </c>
      <c r="I136" s="8">
        <v>96154</v>
      </c>
      <c r="J136" s="9">
        <v>0</v>
      </c>
      <c r="K136" s="9" t="s">
        <v>12</v>
      </c>
      <c r="L136" s="10"/>
    </row>
    <row r="137" spans="1:12" ht="15" customHeight="1">
      <c r="A137" s="5">
        <v>2465</v>
      </c>
      <c r="B137" s="6">
        <v>44927</v>
      </c>
      <c r="C137" s="7"/>
      <c r="D137" s="7" t="s">
        <v>199</v>
      </c>
      <c r="E137" s="7"/>
      <c r="F137" s="7" t="s">
        <v>218</v>
      </c>
      <c r="G137" s="7" t="s">
        <v>117</v>
      </c>
      <c r="H137" s="7" t="str">
        <f t="shared" si="2"/>
        <v>دمج البيانات من نوبل الى نظام يامى -مسلسل-2465-اسم الحساب من نوبل-مجالس محمد على المرر Retention--الرصيد الافتتاحى</v>
      </c>
      <c r="I137" s="8">
        <v>96154</v>
      </c>
      <c r="J137" s="9">
        <v>0</v>
      </c>
      <c r="K137" s="9" t="s">
        <v>12</v>
      </c>
      <c r="L137" s="10"/>
    </row>
    <row r="138" spans="1:12" ht="15" customHeight="1">
      <c r="A138" s="5">
        <v>2465</v>
      </c>
      <c r="B138" s="6">
        <v>44927</v>
      </c>
      <c r="C138" s="7"/>
      <c r="D138" s="7" t="s">
        <v>199</v>
      </c>
      <c r="E138" s="7"/>
      <c r="F138" s="7" t="s">
        <v>219</v>
      </c>
      <c r="G138" s="7" t="s">
        <v>117</v>
      </c>
      <c r="H138" s="7" t="str">
        <f t="shared" si="2"/>
        <v>دمج البيانات من نوبل الى نظام يامى -مسلسل-2465-اسم الحساب من نوبل-فيلا محمد الظاهرى Retention--الرصيد الافتتاحى</v>
      </c>
      <c r="I138" s="8">
        <v>96154</v>
      </c>
      <c r="J138" s="9">
        <v>0</v>
      </c>
      <c r="K138" s="9" t="s">
        <v>12</v>
      </c>
      <c r="L138" s="10"/>
    </row>
    <row r="139" spans="1:12" ht="15" customHeight="1">
      <c r="A139" s="5">
        <v>2465</v>
      </c>
      <c r="B139" s="6">
        <v>44927</v>
      </c>
      <c r="C139" s="7"/>
      <c r="D139" s="7" t="s">
        <v>199</v>
      </c>
      <c r="E139" s="7"/>
      <c r="F139" s="7" t="s">
        <v>220</v>
      </c>
      <c r="G139" s="7" t="s">
        <v>117</v>
      </c>
      <c r="H139" s="7" t="str">
        <f t="shared" si="2"/>
        <v>دمج البيانات من نوبل الى نظام يامى -مسلسل-2465-اسم الحساب من نوبل-بناية مؤسسة المزروعى للتوريدات Retention--الرصيد الافتتاحى</v>
      </c>
      <c r="I139" s="8">
        <v>700000</v>
      </c>
      <c r="J139" s="9">
        <v>0</v>
      </c>
      <c r="K139" s="9" t="s">
        <v>12</v>
      </c>
      <c r="L139" s="10"/>
    </row>
    <row r="140" spans="1:12" ht="15" customHeight="1">
      <c r="A140" s="5">
        <v>2465</v>
      </c>
      <c r="B140" s="6">
        <v>44927</v>
      </c>
      <c r="C140" s="7"/>
      <c r="D140" s="7" t="s">
        <v>199</v>
      </c>
      <c r="E140" s="7"/>
      <c r="F140" s="7" t="s">
        <v>221</v>
      </c>
      <c r="G140" s="7" t="s">
        <v>117</v>
      </c>
      <c r="H140" s="7" t="str">
        <f t="shared" si="2"/>
        <v>دمج البيانات من نوبل الى نظام يامى -مسلسل-2465-اسم الحساب من نوبل-فيلا سهيل المزروعى Retention--الرصيد الافتتاحى</v>
      </c>
      <c r="I140" s="8">
        <v>44000</v>
      </c>
      <c r="J140" s="9">
        <v>0</v>
      </c>
      <c r="K140" s="9" t="s">
        <v>12</v>
      </c>
      <c r="L140" s="10"/>
    </row>
    <row r="141" spans="1:12" ht="15" customHeight="1">
      <c r="A141" s="5">
        <v>2465</v>
      </c>
      <c r="B141" s="6">
        <v>44927</v>
      </c>
      <c r="C141" s="7"/>
      <c r="D141" s="7" t="s">
        <v>199</v>
      </c>
      <c r="E141" s="7"/>
      <c r="F141" s="7" t="s">
        <v>222</v>
      </c>
      <c r="G141" s="7" t="s">
        <v>117</v>
      </c>
      <c r="H141" s="7" t="str">
        <f t="shared" si="2"/>
        <v>دمج البيانات من نوبل الى نظام يامى -مسلسل-2465-اسم الحساب من نوبل-فيلا احمد الماس المرر Retention--الرصيد الافتتاحى</v>
      </c>
      <c r="I141" s="8">
        <v>57692</v>
      </c>
      <c r="J141" s="9">
        <v>0</v>
      </c>
      <c r="K141" s="9" t="s">
        <v>12</v>
      </c>
      <c r="L141" s="10"/>
    </row>
    <row r="142" spans="1:12" ht="15" customHeight="1">
      <c r="A142" s="5">
        <v>2465</v>
      </c>
      <c r="B142" s="6">
        <v>44927</v>
      </c>
      <c r="C142" s="7"/>
      <c r="D142" s="7" t="s">
        <v>223</v>
      </c>
      <c r="E142" s="7"/>
      <c r="F142" s="7" t="s">
        <v>224</v>
      </c>
      <c r="G142" s="7" t="s">
        <v>117</v>
      </c>
      <c r="H142" s="7" t="str">
        <f t="shared" si="2"/>
        <v>دمج البيانات من نوبل الى نظام يامى -مسلسل-2465-اسم الحساب من نوبل-تسويات سنوات سابقه مدينة--الرصيد الافتتاحى</v>
      </c>
      <c r="I142" s="8">
        <v>364232</v>
      </c>
      <c r="J142" s="9">
        <v>0</v>
      </c>
      <c r="K142" s="9" t="s">
        <v>12</v>
      </c>
      <c r="L142" s="10"/>
    </row>
    <row r="143" spans="1:12" ht="15" customHeight="1">
      <c r="A143" s="5">
        <v>2465</v>
      </c>
      <c r="B143" s="6">
        <v>44927</v>
      </c>
      <c r="C143" s="7"/>
      <c r="D143" s="7" t="s">
        <v>107</v>
      </c>
      <c r="E143" s="7"/>
      <c r="F143" s="7" t="s">
        <v>225</v>
      </c>
      <c r="G143" s="7" t="s">
        <v>117</v>
      </c>
      <c r="H143" s="7" t="str">
        <f t="shared" si="2"/>
        <v>دمج البيانات من نوبل الى نظام يامى -مسلسل-2465-اسم الحساب من نوبل-Contra Account--الرصيد الافتتاحى</v>
      </c>
      <c r="I143" s="9">
        <v>0</v>
      </c>
      <c r="J143" s="8">
        <v>3376678</v>
      </c>
      <c r="K143" s="9" t="s">
        <v>12</v>
      </c>
      <c r="L143" s="10"/>
    </row>
    <row r="144" spans="1:12" ht="15" customHeight="1">
      <c r="A144" s="5">
        <v>2465</v>
      </c>
      <c r="B144" s="6">
        <v>44927</v>
      </c>
      <c r="C144" s="7"/>
      <c r="D144" s="7" t="s">
        <v>223</v>
      </c>
      <c r="E144" s="7"/>
      <c r="F144" s="7" t="s">
        <v>226</v>
      </c>
      <c r="G144" s="7" t="s">
        <v>117</v>
      </c>
      <c r="H144" s="7" t="str">
        <f t="shared" si="2"/>
        <v>دمج البيانات من نوبل الى نظام يامى -مسلسل-2465-اسم الحساب من نوبل-مدينون تجاريون--الرصيد الافتتاحى</v>
      </c>
      <c r="I144" s="8">
        <v>2846882</v>
      </c>
      <c r="J144" s="9">
        <v>0</v>
      </c>
      <c r="K144" s="9" t="s">
        <v>12</v>
      </c>
      <c r="L144" s="10"/>
    </row>
    <row r="145" spans="1:12" ht="15" customHeight="1">
      <c r="A145" s="5">
        <v>2465</v>
      </c>
      <c r="B145" s="6">
        <v>44927</v>
      </c>
      <c r="C145" s="7"/>
      <c r="D145" s="7" t="s">
        <v>107</v>
      </c>
      <c r="E145" s="7"/>
      <c r="F145" s="7" t="s">
        <v>225</v>
      </c>
      <c r="G145" s="7" t="s">
        <v>117</v>
      </c>
      <c r="H145" s="7" t="str">
        <f t="shared" si="2"/>
        <v>دمج البيانات من نوبل الى نظام يامى -مسلسل-2465-اسم الحساب من نوبل-Contra Account--الرصيد الافتتاحى</v>
      </c>
      <c r="I145" s="9">
        <v>0</v>
      </c>
      <c r="J145" s="8">
        <v>2846882</v>
      </c>
      <c r="K145" s="9" t="s">
        <v>12</v>
      </c>
      <c r="L145" s="10"/>
    </row>
    <row r="146" spans="1:12" ht="15" customHeight="1">
      <c r="A146" s="5">
        <v>2465</v>
      </c>
      <c r="B146" s="6">
        <v>44927</v>
      </c>
      <c r="C146" s="7"/>
      <c r="D146" s="7" t="s">
        <v>107</v>
      </c>
      <c r="E146" s="7"/>
      <c r="F146" s="7" t="s">
        <v>225</v>
      </c>
      <c r="G146" s="7" t="s">
        <v>117</v>
      </c>
      <c r="H146" s="7" t="str">
        <f t="shared" si="2"/>
        <v>دمج البيانات من نوبل الى نظام يامى -مسلسل-2465-اسم الحساب من نوبل-Contra Account--الرصيد الافتتاحى</v>
      </c>
      <c r="I146" s="8">
        <v>831780</v>
      </c>
      <c r="J146" s="9">
        <v>0</v>
      </c>
      <c r="K146" s="9" t="s">
        <v>12</v>
      </c>
      <c r="L146" s="10"/>
    </row>
    <row r="147" spans="1:12" ht="15" customHeight="1">
      <c r="A147" s="5">
        <v>2465</v>
      </c>
      <c r="B147" s="6">
        <v>44927</v>
      </c>
      <c r="C147" s="7"/>
      <c r="D147" s="7" t="s">
        <v>227</v>
      </c>
      <c r="E147" s="7"/>
      <c r="F147" s="7" t="s">
        <v>228</v>
      </c>
      <c r="G147" s="7" t="s">
        <v>117</v>
      </c>
      <c r="H147" s="7" t="str">
        <f t="shared" si="2"/>
        <v>دمج البيانات من نوبل الى نظام يامى -مسلسل-2465-اسم الحساب من نوبل-مخصص استكمال مشاريع--الرصيد الافتتاحى</v>
      </c>
      <c r="I147" s="9">
        <v>0</v>
      </c>
      <c r="J147" s="8">
        <v>831780</v>
      </c>
      <c r="K147" s="9" t="s">
        <v>12</v>
      </c>
      <c r="L147" s="10"/>
    </row>
    <row r="148" spans="1:12" ht="15" customHeight="1">
      <c r="A148" s="5">
        <v>2465</v>
      </c>
      <c r="B148" s="6">
        <v>44927</v>
      </c>
      <c r="C148" s="7"/>
      <c r="D148" s="7" t="s">
        <v>107</v>
      </c>
      <c r="E148" s="7"/>
      <c r="F148" s="7" t="s">
        <v>225</v>
      </c>
      <c r="G148" s="7" t="s">
        <v>117</v>
      </c>
      <c r="H148" s="7" t="str">
        <f t="shared" si="2"/>
        <v>دمج البيانات من نوبل الى نظام يامى -مسلسل-2465-اسم الحساب من نوبل-Contra Account--الرصيد الافتتاحى</v>
      </c>
      <c r="I148" s="8">
        <v>4928954</v>
      </c>
      <c r="J148" s="9">
        <v>0</v>
      </c>
      <c r="K148" s="9" t="s">
        <v>12</v>
      </c>
      <c r="L148" s="10"/>
    </row>
    <row r="149" spans="1:12" ht="15" customHeight="1">
      <c r="A149" s="5">
        <v>2465</v>
      </c>
      <c r="B149" s="6">
        <v>44927</v>
      </c>
      <c r="C149" s="7"/>
      <c r="D149" s="11" t="s">
        <v>229</v>
      </c>
      <c r="E149" s="7"/>
      <c r="F149" s="7" t="s">
        <v>230</v>
      </c>
      <c r="G149" s="7" t="s">
        <v>117</v>
      </c>
      <c r="H149" s="7" t="str">
        <f t="shared" si="2"/>
        <v>دمج البيانات من نوبل الى نظام يامى -مسلسل-2465-اسم الحساب من نوبل-Current Earnings--الرصيد الافتتاحى</v>
      </c>
      <c r="I149" s="9">
        <v>0</v>
      </c>
      <c r="J149" s="8">
        <v>4928954</v>
      </c>
      <c r="K149" s="9" t="s">
        <v>12</v>
      </c>
      <c r="L149" s="10"/>
    </row>
    <row r="150" spans="1:12" ht="15" customHeight="1">
      <c r="A150" s="5">
        <v>2465</v>
      </c>
      <c r="B150" s="6">
        <v>44927</v>
      </c>
      <c r="C150" s="7"/>
      <c r="D150" s="7" t="s">
        <v>231</v>
      </c>
      <c r="E150" s="7"/>
      <c r="F150" s="7" t="s">
        <v>232</v>
      </c>
      <c r="G150" s="7" t="s">
        <v>117</v>
      </c>
      <c r="H150" s="7" t="str">
        <f t="shared" si="2"/>
        <v>دمج البيانات من نوبل الى نظام يامى -مسلسل-2465-اسم الحساب من نوبل-Value Added Tax (VAT IN)--الرصيد الافتتاحى</v>
      </c>
      <c r="I150" s="8">
        <v>2672304</v>
      </c>
      <c r="J150" s="9">
        <v>0</v>
      </c>
      <c r="K150" s="9" t="s">
        <v>12</v>
      </c>
      <c r="L150" s="10"/>
    </row>
    <row r="151" spans="1:12" ht="15" customHeight="1">
      <c r="A151" s="5">
        <v>2465</v>
      </c>
      <c r="B151" s="6">
        <v>44927</v>
      </c>
      <c r="C151" s="7"/>
      <c r="D151" s="7" t="s">
        <v>107</v>
      </c>
      <c r="E151" s="7"/>
      <c r="F151" s="7" t="s">
        <v>225</v>
      </c>
      <c r="G151" s="7" t="s">
        <v>117</v>
      </c>
      <c r="H151" s="7" t="str">
        <f t="shared" si="2"/>
        <v>دمج البيانات من نوبل الى نظام يامى -مسلسل-2465-اسم الحساب من نوبل-Contra Account--الرصيد الافتتاحى</v>
      </c>
      <c r="I151" s="9">
        <v>0</v>
      </c>
      <c r="J151" s="8">
        <v>2672304</v>
      </c>
      <c r="K151" s="9" t="s">
        <v>12</v>
      </c>
      <c r="L151" s="10"/>
    </row>
    <row r="152" spans="1:12" ht="15" customHeight="1">
      <c r="A152" s="5">
        <v>2465</v>
      </c>
      <c r="B152" s="6">
        <v>44927</v>
      </c>
      <c r="C152" s="7"/>
      <c r="D152" s="7" t="s">
        <v>107</v>
      </c>
      <c r="E152" s="7"/>
      <c r="F152" s="7" t="s">
        <v>225</v>
      </c>
      <c r="G152" s="7" t="s">
        <v>117</v>
      </c>
      <c r="H152" s="7" t="str">
        <f t="shared" si="2"/>
        <v>دمج البيانات من نوبل الى نظام يامى -مسلسل-2465-اسم الحساب من نوبل-Contra Account--الرصيد الافتتاحى</v>
      </c>
      <c r="I152" s="8">
        <v>1772256</v>
      </c>
      <c r="J152" s="9">
        <v>0</v>
      </c>
      <c r="K152" s="9" t="s">
        <v>12</v>
      </c>
      <c r="L152" s="10"/>
    </row>
    <row r="153" spans="1:12" ht="15" customHeight="1">
      <c r="A153" s="5">
        <v>2465</v>
      </c>
      <c r="B153" s="6">
        <v>44927</v>
      </c>
      <c r="C153" s="7"/>
      <c r="D153" s="11" t="s">
        <v>229</v>
      </c>
      <c r="E153" s="7"/>
      <c r="F153" s="7" t="s">
        <v>230</v>
      </c>
      <c r="G153" s="7" t="s">
        <v>117</v>
      </c>
      <c r="H153" s="7" t="str">
        <f t="shared" si="2"/>
        <v>دمج البيانات من نوبل الى نظام يامى -مسلسل-2465-اسم الحساب من نوبل-Current Earnings--الرصيد الافتتاحى</v>
      </c>
      <c r="I153" s="9">
        <v>0</v>
      </c>
      <c r="J153" s="8">
        <v>1772256</v>
      </c>
      <c r="K153" s="9" t="s">
        <v>12</v>
      </c>
      <c r="L153" s="10"/>
    </row>
    <row r="154" spans="1:12" ht="15" customHeight="1">
      <c r="A154" s="5">
        <v>2465</v>
      </c>
      <c r="B154" s="6">
        <v>44927</v>
      </c>
      <c r="C154" s="7"/>
      <c r="D154" s="7" t="s">
        <v>223</v>
      </c>
      <c r="E154" s="7"/>
      <c r="F154" s="7" t="s">
        <v>224</v>
      </c>
      <c r="G154" s="7" t="s">
        <v>117</v>
      </c>
      <c r="H154" s="7" t="str">
        <f t="shared" si="2"/>
        <v>دمج البيانات من نوبل الى نظام يامى -مسلسل-2465-اسم الحساب من نوبل-تسويات سنوات سابقه مدينة--الرصيد الافتتاحى</v>
      </c>
      <c r="I154" s="8">
        <v>271824.52</v>
      </c>
      <c r="J154" s="9">
        <v>0</v>
      </c>
      <c r="K154" s="9" t="s">
        <v>12</v>
      </c>
      <c r="L154" s="10"/>
    </row>
    <row r="155" spans="1:12" ht="15" customHeight="1">
      <c r="A155" s="5">
        <v>2465</v>
      </c>
      <c r="B155" s="6">
        <v>44927</v>
      </c>
      <c r="C155" s="7"/>
      <c r="D155" s="7" t="s">
        <v>107</v>
      </c>
      <c r="E155" s="7"/>
      <c r="F155" s="7" t="s">
        <v>225</v>
      </c>
      <c r="G155" s="7" t="s">
        <v>117</v>
      </c>
      <c r="H155" s="7" t="str">
        <f t="shared" si="2"/>
        <v>دمج البيانات من نوبل الى نظام يامى -مسلسل-2465-اسم الحساب من نوبل-Contra Account--الرصيد الافتتاحى</v>
      </c>
      <c r="I155" s="9">
        <v>0</v>
      </c>
      <c r="J155" s="8">
        <v>271824.52</v>
      </c>
      <c r="K155" s="9" t="s">
        <v>12</v>
      </c>
      <c r="L155" s="10"/>
    </row>
    <row r="156" spans="1:12">
      <c r="I156" s="12">
        <f>SUM(I3:I155)</f>
        <v>23866670.559999999</v>
      </c>
      <c r="J156" s="12">
        <f>SUM(J3:J155)</f>
        <v>23866670.559999999</v>
      </c>
    </row>
    <row r="157" spans="1:12">
      <c r="I157" s="12"/>
    </row>
    <row r="158" spans="1:12">
      <c r="I158" s="13">
        <v>4189633.64</v>
      </c>
    </row>
  </sheetData>
  <autoFilter ref="A1:L156"/>
  <hyperlinks>
    <hyperlink ref="L3" r:id="rId1" display="javascript:__doPostBack('gvReport$ctl14773$imgbtn','')"/>
    <hyperlink ref="L4" r:id="rId2" display="javascript:__doPostBack('gvReport$ctl14774$imgbtn','')"/>
    <hyperlink ref="L5" r:id="rId3" display="javascript:__doPostBack('gvReport$ctl14775$imgbtn','')"/>
    <hyperlink ref="L6" r:id="rId4" display="javascript:__doPostBack('gvReport$ctl14776$imgbtn','')"/>
    <hyperlink ref="L7" r:id="rId5" display="javascript:__doPostBack('gvReport$ctl14777$imgbtn','')"/>
    <hyperlink ref="L8" r:id="rId6" display="javascript:__doPostBack('gvReport$ctl14778$imgbtn','')"/>
    <hyperlink ref="L9" r:id="rId7" display="javascript:__doPostBack('gvReport$ctl14779$imgbtn','')"/>
    <hyperlink ref="L10" r:id="rId8" display="javascript:__doPostBack('gvReport$ctl14780$imgbtn','')"/>
    <hyperlink ref="L11" r:id="rId9" display="javascript:__doPostBack('gvReport$ctl14781$imgbtn','')"/>
    <hyperlink ref="L12" r:id="rId10" display="javascript:__doPostBack('gvReport$ctl14782$imgbtn','')"/>
    <hyperlink ref="L13" r:id="rId11" display="javascript:__doPostBack('gvReport$ctl14783$imgbtn','')"/>
    <hyperlink ref="L14" r:id="rId12" display="javascript:__doPostBack('gvReport$ctl14784$imgbtn','')"/>
    <hyperlink ref="L15" r:id="rId13" display="javascript:__doPostBack('gvReport$ctl14785$imgbtn','')"/>
    <hyperlink ref="L16" r:id="rId14" display="javascript:__doPostBack('gvReport$ctl14786$imgbtn','')"/>
    <hyperlink ref="L17" r:id="rId15" display="javascript:__doPostBack('gvReport$ctl14787$imgbtn','')"/>
    <hyperlink ref="L18" r:id="rId16" display="javascript:__doPostBack('gvReport$ctl14788$imgbtn','')"/>
    <hyperlink ref="L19" r:id="rId17" display="javascript:__doPostBack('gvReport$ctl14789$imgbtn','')"/>
    <hyperlink ref="L20" r:id="rId18" display="javascript:__doPostBack('gvReport$ctl14790$imgbtn','')"/>
    <hyperlink ref="L21" r:id="rId19" display="javascript:__doPostBack('gvReport$ctl14791$imgbtn','')"/>
    <hyperlink ref="L22" r:id="rId20" display="javascript:__doPostBack('gvReport$ctl14792$imgbtn','')"/>
    <hyperlink ref="L23" r:id="rId21" display="javascript:__doPostBack('gvReport$ctl14793$imgbtn','')"/>
    <hyperlink ref="L24" r:id="rId22" display="javascript:__doPostBack('gvReport$ctl14794$imgbtn','')"/>
    <hyperlink ref="L25" r:id="rId23" display="javascript:__doPostBack('gvReport$ctl14795$imgbtn','')"/>
    <hyperlink ref="L26" r:id="rId24" display="javascript:__doPostBack('gvReport$ctl14796$imgbtn','')"/>
    <hyperlink ref="L27" r:id="rId25" display="javascript:__doPostBack('gvReport$ctl14797$imgbtn','')"/>
    <hyperlink ref="L28" r:id="rId26" display="javascript:__doPostBack('gvReport$ctl14798$imgbtn','')"/>
    <hyperlink ref="L29" r:id="rId27" display="javascript:__doPostBack('gvReport$ctl14799$imgbtn','')"/>
    <hyperlink ref="L30" r:id="rId28" display="javascript:__doPostBack('gvReport$ctl14800$imgbtn','')"/>
    <hyperlink ref="L31" r:id="rId29" display="javascript:__doPostBack('gvReport$ctl14801$imgbtn','')"/>
    <hyperlink ref="L32" r:id="rId30" display="javascript:__doPostBack('gvReport$ctl14802$imgbtn','')"/>
    <hyperlink ref="L33" r:id="rId31" display="javascript:__doPostBack('gvReport$ctl14803$imgbtn','')"/>
    <hyperlink ref="L34" r:id="rId32" display="javascript:__doPostBack('gvReport$ctl14804$imgbtn','')"/>
    <hyperlink ref="L35" r:id="rId33" display="javascript:__doPostBack('gvReport$ctl14805$imgbtn','')"/>
    <hyperlink ref="L36" r:id="rId34" display="javascript:__doPostBack('gvReport$ctl14806$imgbtn','')"/>
    <hyperlink ref="L37" r:id="rId35" display="javascript:__doPostBack('gvReport$ctl14807$imgbtn','')"/>
    <hyperlink ref="L38" r:id="rId36" display="javascript:__doPostBack('gvReport$ctl14808$imgbtn','')"/>
    <hyperlink ref="L39" r:id="rId37" display="javascript:__doPostBack('gvReport$ctl14809$imgbtn','')"/>
    <hyperlink ref="L40" r:id="rId38" display="javascript:__doPostBack('gvReport$ctl14810$imgbtn','')"/>
    <hyperlink ref="L41" r:id="rId39" display="javascript:__doPostBack('gvReport$ctl14811$imgbtn','')"/>
    <hyperlink ref="L42" r:id="rId40" display="javascript:__doPostBack('gvReport$ctl14812$imgbtn','')"/>
    <hyperlink ref="L43" r:id="rId41" display="javascript:__doPostBack('gvReport$ctl14813$imgbtn','')"/>
    <hyperlink ref="L44" r:id="rId42" display="javascript:__doPostBack('gvReport$ctl14814$imgbtn','')"/>
    <hyperlink ref="L45" r:id="rId43" display="javascript:__doPostBack('gvReport$ctl14815$imgbtn','')"/>
    <hyperlink ref="L46" r:id="rId44" display="javascript:__doPostBack('gvReport$ctl14816$imgbtn','')"/>
    <hyperlink ref="L47" r:id="rId45" display="javascript:__doPostBack('gvReport$ctl14817$imgbtn','')"/>
    <hyperlink ref="L48" r:id="rId46" display="javascript:__doPostBack('gvReport$ctl14818$imgbtn','')"/>
    <hyperlink ref="L49" r:id="rId47" display="javascript:__doPostBack('gvReport$ctl14819$imgbtn','')"/>
    <hyperlink ref="L50" r:id="rId48" display="javascript:__doPostBack('gvReport$ctl14820$imgbtn','')"/>
    <hyperlink ref="L51" r:id="rId49" display="javascript:__doPostBack('gvReport$ctl14821$imgbtn','')"/>
    <hyperlink ref="L52" r:id="rId50" display="javascript:__doPostBack('gvReport$ctl14822$imgbtn','')"/>
    <hyperlink ref="L53" r:id="rId51" display="javascript:__doPostBack('gvReport$ctl14823$imgbtn','')"/>
    <hyperlink ref="L54" r:id="rId52" display="javascript:__doPostBack('gvReport$ctl14824$imgbtn','')"/>
    <hyperlink ref="L55" r:id="rId53" display="javascript:__doPostBack('gvReport$ctl14882$imgbtn','')"/>
    <hyperlink ref="L56" r:id="rId54" display="javascript:__doPostBack('gvReport$ctl14883$imgbtn','')"/>
    <hyperlink ref="L57" r:id="rId55" display="javascript:__doPostBack('gvReport$ctl14884$imgbtn','')"/>
    <hyperlink ref="L58" r:id="rId56" display="javascript:__doPostBack('gvReport$ctl14885$imgbtn','')"/>
    <hyperlink ref="L59" r:id="rId57" display="javascript:__doPostBack('gvReport$ctl14886$imgbtn','')"/>
    <hyperlink ref="L60" r:id="rId58" display="javascript:__doPostBack('gvReport$ctl14887$imgbtn','')"/>
    <hyperlink ref="L61" r:id="rId59" display="javascript:__doPostBack('gvReport$ctl14888$imgbtn','')"/>
    <hyperlink ref="L62" r:id="rId60" display="javascript:__doPostBack('gvReport$ctl14889$imgbtn','')"/>
    <hyperlink ref="L63" r:id="rId61" display="javascript:__doPostBack('gvReport$ctl14890$imgbtn','')"/>
    <hyperlink ref="L64" r:id="rId62" display="javascript:__doPostBack('gvReport$ctl14891$imgbtn','')"/>
    <hyperlink ref="L65" r:id="rId63" display="javascript:__doPostBack('gvReport$ctl14892$imgbtn','')"/>
    <hyperlink ref="L66" r:id="rId64" display="javascript:__doPostBack('gvReport$ctl14893$imgbtn','')"/>
    <hyperlink ref="L67" r:id="rId65" display="javascript:__doPostBack('gvReport$ctl14894$imgbtn','')"/>
    <hyperlink ref="L68" r:id="rId66" display="javascript:__doPostBack('gvReport$ctl14895$imgbtn','')"/>
    <hyperlink ref="L69" r:id="rId67" display="javascript:__doPostBack('gvReport$ctl14896$imgbtn','')"/>
    <hyperlink ref="L70" r:id="rId68" display="javascript:__doPostBack('gvReport$ctl14897$imgbtn','')"/>
    <hyperlink ref="L71" r:id="rId69" display="javascript:__doPostBack('gvReport$ctl14898$imgbtn','')"/>
    <hyperlink ref="L72" r:id="rId70" display="javascript:__doPostBack('gvReport$ctl14899$imgbtn','')"/>
    <hyperlink ref="L73" r:id="rId71" display="javascript:__doPostBack('gvReport$ctl14900$imgbtn','')"/>
    <hyperlink ref="L74" r:id="rId72" display="javascript:__doPostBack('gvReport$ctl14901$imgbtn','')"/>
    <hyperlink ref="L75" r:id="rId73" display="javascript:__doPostBack('gvReport$ctl14902$imgbtn','')"/>
    <hyperlink ref="L76" r:id="rId74" display="javascript:__doPostBack('gvReport$ctl14903$imgbtn','')"/>
    <hyperlink ref="L77" r:id="rId75" display="javascript:__doPostBack('gvReport$ctl14904$imgbtn','')"/>
    <hyperlink ref="L78" r:id="rId76" display="javascript:__doPostBack('gvReport$ctl14905$imgbtn','')"/>
    <hyperlink ref="L79" r:id="rId77" display="javascript:__doPostBack('gvReport$ctl14906$imgbtn','')"/>
    <hyperlink ref="L80" r:id="rId78" display="javascript:__doPostBack('gvReport$ctl14907$imgbtn','')"/>
    <hyperlink ref="L81" r:id="rId79" display="javascript:__doPostBack('gvReport$ctl14908$imgbtn','')"/>
    <hyperlink ref="L82" r:id="rId80" display="javascript:__doPostBack('gvReport$ctl14909$imgbtn','')"/>
    <hyperlink ref="L83" r:id="rId81" display="javascript:__doPostBack('gvReport$ctl14910$imgbtn','')"/>
    <hyperlink ref="L84" r:id="rId82" display="javascript:__doPostBack('gvReport$ctl14911$imgbtn','')"/>
    <hyperlink ref="L85" r:id="rId83" display="javascript:__doPostBack('gvReport$ctl14912$imgbtn','')"/>
    <hyperlink ref="L86" r:id="rId84" display="javascript:__doPostBack('gvReport$ctl14913$imgbtn','')"/>
    <hyperlink ref="L87" r:id="rId85" display="javascript:__doPostBack('gvReport$ctl14914$imgbtn','')"/>
    <hyperlink ref="L88" r:id="rId86" display="javascript:__doPostBack('gvReport$ctl14915$imgbtn','')"/>
    <hyperlink ref="L89" r:id="rId87" display="javascript:__doPostBack('gvReport$ctl14916$imgbtn','')"/>
    <hyperlink ref="L90" r:id="rId88" display="javascript:__doPostBack('gvReport$ctl14917$imgbtn','')"/>
    <hyperlink ref="L91" r:id="rId89" display="javascript:__doPostBack('gvReport$ctl14918$imgbtn','')"/>
    <hyperlink ref="L92" r:id="rId90" display="javascript:__doPostBack('gvReport$ctl14919$imgbtn','')"/>
    <hyperlink ref="L93" r:id="rId91" display="javascript:__doPostBack('gvReport$ctl14920$imgbtn','')"/>
    <hyperlink ref="L94" r:id="rId92" display="javascript:__doPostBack('gvReport$ctl14921$imgbtn','')"/>
    <hyperlink ref="L95" r:id="rId93" display="javascript:__doPostBack('gvReport$ctl14922$imgbtn','')"/>
    <hyperlink ref="L96" r:id="rId94" display="javascript:__doPostBack('gvReport$ctl14923$imgbtn','')"/>
    <hyperlink ref="L97" r:id="rId95" display="javascript:__doPostBack('gvReport$ctl14924$imgbtn','')"/>
    <hyperlink ref="L98" r:id="rId96" display="javascript:__doPostBack('gvReport$ctl14925$imgbtn','')"/>
    <hyperlink ref="L99" r:id="rId97" display="javascript:__doPostBack('gvReport$ctl14926$imgbtn','')"/>
    <hyperlink ref="L100" r:id="rId98" display="javascript:__doPostBack('gvReport$ctl14927$imgbtn','')"/>
    <hyperlink ref="L101" r:id="rId99" display="javascript:__doPostBack('gvReport$ctl14928$imgbtn','')"/>
    <hyperlink ref="L102" r:id="rId100" display="javascript:__doPostBack('gvReport$ctl14929$imgbtn','')"/>
    <hyperlink ref="L103" r:id="rId101" display="javascript:__doPostBack('gvReport$ctl14930$imgbtn','')"/>
    <hyperlink ref="L104" r:id="rId102" display="javascript:__doPostBack('gvReport$ctl14931$imgbtn','')"/>
    <hyperlink ref="L105" r:id="rId103" display="javascript:__doPostBack('gvReport$ctl14932$imgbtn','')"/>
    <hyperlink ref="L106" r:id="rId104" display="javascript:__doPostBack('gvReport$ctl14933$imgbtn','')"/>
    <hyperlink ref="L107" r:id="rId105" display="javascript:__doPostBack('gvReport$ctl14934$imgbtn','')"/>
    <hyperlink ref="L108" r:id="rId106" display="javascript:__doPostBack('gvReport$ctl14935$imgbtn','')"/>
    <hyperlink ref="L109" r:id="rId107" display="javascript:__doPostBack('gvReport$ctl14936$imgbtn','')"/>
    <hyperlink ref="L110" r:id="rId108" display="javascript:__doPostBack('gvReport$ctl14937$imgbtn','')"/>
    <hyperlink ref="L111" r:id="rId109" display="javascript:__doPostBack('gvReport$ctl14938$imgbtn','')"/>
    <hyperlink ref="L112" r:id="rId110" display="javascript:__doPostBack('gvReport$ctl14939$imgbtn','')"/>
    <hyperlink ref="L113" r:id="rId111" display="javascript:__doPostBack('gvReport$ctl14940$imgbtn','')"/>
    <hyperlink ref="L114" r:id="rId112" display="javascript:__doPostBack('gvReport$ctl14941$imgbtn','')"/>
    <hyperlink ref="L115" r:id="rId113" display="javascript:__doPostBack('gvReport$ctl14942$imgbtn','')"/>
    <hyperlink ref="L116" r:id="rId114" display="javascript:__doPostBack('gvReport$ctl23632$imgbtn','')"/>
    <hyperlink ref="L117" r:id="rId115" display="javascript:__doPostBack('gvReport$ctl23633$imgbtn','')"/>
    <hyperlink ref="L118" r:id="rId116" display="javascript:__doPostBack('gvReport$ctl29293$imgbtn','')"/>
    <hyperlink ref="L119" r:id="rId117" display="javascript:__doPostBack('gvReport$ctl29294$imgbtn','')"/>
    <hyperlink ref="L120" r:id="rId118" display="javascript:__doPostBack('gvReport$ctl29295$imgbtn','')"/>
    <hyperlink ref="L121" r:id="rId119" display="javascript:__doPostBack('gvReport$ctl29296$imgbtn','')"/>
    <hyperlink ref="L122" r:id="rId120" display="javascript:__doPostBack('gvReport$ctl29297$imgbtn','')"/>
    <hyperlink ref="L123" r:id="rId121" display="javascript:__doPostBack('gvReport$ctl29298$imgbtn','')"/>
    <hyperlink ref="L124" r:id="rId122" display="javascript:__doPostBack('gvReport$ctl29299$imgbtn','')"/>
    <hyperlink ref="L125" r:id="rId123" display="javascript:__doPostBack('gvReport$ctl29300$imgbtn','')"/>
    <hyperlink ref="L126" r:id="rId124" display="javascript:__doPostBack('gvReport$ctl29301$imgbtn','')"/>
    <hyperlink ref="L127" r:id="rId125" display="javascript:__doPostBack('gvReport$ctl29302$imgbtn','')"/>
    <hyperlink ref="L128" r:id="rId126" display="javascript:__doPostBack('gvReport$ctl29303$imgbtn','')"/>
    <hyperlink ref="L129" r:id="rId127" display="javascript:__doPostBack('gvReport$ctl29304$imgbtn','')"/>
    <hyperlink ref="L130" r:id="rId128" display="javascript:__doPostBack('gvReport$ctl29305$imgbtn','')"/>
    <hyperlink ref="L131" r:id="rId129" display="javascript:__doPostBack('gvReport$ctl29306$imgbtn','')"/>
    <hyperlink ref="L132" r:id="rId130" display="javascript:__doPostBack('gvReport$ctl29307$imgbtn','')"/>
    <hyperlink ref="L133" r:id="rId131" display="javascript:__doPostBack('gvReport$ctl29308$imgbtn','')"/>
    <hyperlink ref="L134" r:id="rId132" display="javascript:__doPostBack('gvReport$ctl29309$imgbtn','')"/>
    <hyperlink ref="L135" r:id="rId133" display="javascript:__doPostBack('gvReport$ctl29310$imgbtn','')"/>
    <hyperlink ref="L136" r:id="rId134" display="javascript:__doPostBack('gvReport$ctl29311$imgbtn','')"/>
    <hyperlink ref="L137" r:id="rId135" display="javascript:__doPostBack('gvReport$ctl29312$imgbtn','')"/>
    <hyperlink ref="L138" r:id="rId136" display="javascript:__doPostBack('gvReport$ctl29313$imgbtn','')"/>
    <hyperlink ref="L139" r:id="rId137" display="javascript:__doPostBack('gvReport$ctl29314$imgbtn','')"/>
    <hyperlink ref="L140" r:id="rId138" display="javascript:__doPostBack('gvReport$ctl29315$imgbtn','')"/>
    <hyperlink ref="L141" r:id="rId139" display="javascript:__doPostBack('gvReport$ctl29316$imgbtn','')"/>
    <hyperlink ref="L142" r:id="rId140" display="javascript:__doPostBack('gvReport$ctl29317$imgbtn','')"/>
    <hyperlink ref="L143" r:id="rId141" display="javascript:__doPostBack('gvReport$ctl29318$imgbtn','')"/>
    <hyperlink ref="L144" r:id="rId142" display="javascript:__doPostBack('gvReport$ctl29319$imgbtn','')"/>
    <hyperlink ref="L145" r:id="rId143" display="javascript:__doPostBack('gvReport$ctl29320$imgbtn','')"/>
    <hyperlink ref="L146" r:id="rId144" display="javascript:__doPostBack('gvReport$ctl29321$imgbtn','')"/>
    <hyperlink ref="L147" r:id="rId145" display="javascript:__doPostBack('gvReport$ctl29322$imgbtn','')"/>
    <hyperlink ref="L148" r:id="rId146" display="javascript:__doPostBack('gvReport$ctl29323$imgbtn','')"/>
    <hyperlink ref="L149" r:id="rId147" display="javascript:__doPostBack('gvReport$ctl29324$imgbtn','')"/>
    <hyperlink ref="L150" r:id="rId148" display="javascript:__doPostBack('gvReport$ctl29325$imgbtn','')"/>
    <hyperlink ref="L151" r:id="rId149" display="javascript:__doPostBack('gvReport$ctl29326$imgbtn','')"/>
    <hyperlink ref="L152" r:id="rId150" display="javascript:__doPostBack('gvReport$ctl29327$imgbtn','')"/>
    <hyperlink ref="L153" r:id="rId151" display="javascript:__doPostBack('gvReport$ctl29328$imgbtn','')"/>
    <hyperlink ref="L154" r:id="rId152" display="javascript:__doPostBack('gvReport$ctl29329$imgbtn','')"/>
    <hyperlink ref="L155" r:id="rId153" display="javascript:__doPostBack('gvReport$ctl29330$imgbtn','')"/>
  </hyperlinks>
  <pageMargins left="0.7" right="0.7" top="0.75" bottom="0.75" header="0.3" footer="0.3"/>
  <pageSetup paperSize="144" orientation="portrait" horizontalDpi="203" verticalDpi="203" r:id="rId15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MIRAL MAGED YAHIA MORSY KHALIL HOSSAMELDIN</dc:creator>
  <cp:lastModifiedBy>Mahmoud</cp:lastModifiedBy>
  <dcterms:created xsi:type="dcterms:W3CDTF">2026-06-29T08:35:31Z</dcterms:created>
  <dcterms:modified xsi:type="dcterms:W3CDTF">2026-06-29T12:29:49Z</dcterms:modified>
</cp:coreProperties>
</file>